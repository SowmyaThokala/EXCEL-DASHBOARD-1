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thok\Downloads\"/>
    </mc:Choice>
  </mc:AlternateContent>
  <xr:revisionPtr revIDLastSave="0" documentId="13_ncr:1_{325756AD-9DFE-423B-B812-3AB048D460C9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Sheet2" sheetId="2" state="hidden" r:id="rId1"/>
    <sheet name="Sheet5" sheetId="5" state="hidden" r:id="rId2"/>
    <sheet name="Dashboard" sheetId="11" r:id="rId3"/>
    <sheet name="Pivot 1" sheetId="6" r:id="rId4"/>
    <sheet name="Pivot 2" sheetId="7" r:id="rId5"/>
    <sheet name="Pivot 3" sheetId="8" r:id="rId6"/>
    <sheet name="Pivot 4" sheetId="9" r:id="rId7"/>
    <sheet name="Pivot 5" sheetId="10" r:id="rId8"/>
    <sheet name="Data" sheetId="1" r:id="rId9"/>
  </sheets>
  <definedNames>
    <definedName name="_xlnm._FilterDatabase" localSheetId="8" hidden="1">Data!$A$1:$L$2001</definedName>
    <definedName name="_xlcn.WorksheetConnection_Sheet1A1L20011" hidden="1">Data!$A$1:$L$2001</definedName>
  </definedNames>
  <calcPr calcId="191029"/>
  <pivotCaches>
    <pivotCache cacheId="61" r:id="rId10"/>
    <pivotCache cacheId="41" r:id="rId11"/>
    <pivotCache cacheId="56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L$2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53F6C5-7DF3-43EB-81C0-64DFAA714C4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DF45EA-C74F-477E-8398-4A7A73FA3D9C}" name="WorksheetConnection_Sheet1!$A$1:$L$2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L200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Range].[Payment_Method].&amp;[Cash],[Range].[Payment_Method].&amp;[Bank Transfer]}"/>
    <s v="{[Range].[Department].[All]}"/>
    <s v="{[Range].[Customer_Segment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<sst xmlns="http://schemas.openxmlformats.org/spreadsheetml/2006/main" count="14175" uniqueCount="2054">
  <si>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</si>
  <si>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</si>
  <si>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</si>
  <si>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</si>
  <si>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</si>
  <si>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</si>
  <si>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</si>
  <si>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</si>
  <si>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</si>
  <si>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</si>
  <si>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</si>
  <si>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</si>
  <si>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</si>
  <si>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</si>
  <si>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</si>
  <si>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</si>
  <si>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</si>
  <si>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</si>
  <si>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</si>
  <si>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</si>
  <si>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</si>
  <si>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</si>
  <si>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</si>
  <si>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</si>
  <si>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</si>
  <si>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</si>
  <si>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</si>
  <si>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</si>
  <si>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</si>
  <si>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</si>
  <si>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</si>
  <si>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</si>
  <si>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</si>
  <si>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</si>
  <si>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</si>
  <si>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</si>
  <si>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</si>
  <si>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</si>
  <si>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</si>
  <si>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</si>
  <si>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</si>
  <si>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</si>
  <si>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</si>
  <si>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</si>
  <si>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</si>
  <si>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</si>
  <si>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</si>
  <si>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</si>
  <si>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</si>
  <si>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</si>
  <si>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</si>
  <si>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</si>
  <si>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</si>
  <si>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</si>
  <si>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</si>
  <si>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</si>
  <si>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</si>
  <si>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</si>
  <si>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</si>
  <si>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</si>
  <si>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</si>
  <si>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</si>
  <si>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</si>
  <si>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</si>
  <si>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</si>
  <si>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</si>
  <si>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</si>
  <si>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</si>
  <si>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</si>
  <si>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</si>
  <si>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</si>
  <si>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</si>
  <si>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</si>
  <si>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</si>
  <si>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</si>
  <si>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</si>
  <si>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</si>
  <si>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</si>
  <si>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</si>
  <si>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</si>
  <si>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</si>
  <si>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</si>
  <si>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</si>
  <si>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</si>
  <si>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</si>
  <si>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</si>
  <si>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</si>
  <si>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</si>
  <si>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</si>
  <si>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</si>
  <si>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</si>
  <si>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</si>
  <si>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</si>
  <si>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</si>
  <si>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</si>
  <si>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</si>
  <si>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</si>
  <si>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</si>
  <si>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</si>
  <si>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</si>
  <si>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</si>
  <si>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</si>
  <si>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</si>
  <si>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</si>
  <si>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</si>
  <si>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</si>
  <si>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</si>
  <si>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</si>
  <si>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</si>
  <si>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</si>
  <si>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</si>
  <si>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</si>
  <si>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</si>
  <si>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</si>
  <si>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</si>
  <si>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</si>
  <si>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</si>
  <si>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</si>
  <si>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</si>
  <si>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</si>
  <si>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</si>
  <si>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</si>
  <si>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</si>
  <si>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</si>
  <si>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</si>
  <si>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</si>
  <si>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</si>
  <si>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</si>
  <si>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</si>
  <si>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</si>
  <si>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</si>
  <si>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</si>
  <si>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</si>
  <si>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</si>
  <si>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</si>
  <si>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</si>
  <si>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</si>
  <si>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</si>
  <si>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</si>
  <si>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</si>
  <si>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</si>
  <si>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</si>
  <si>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</si>
  <si>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</si>
  <si>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</si>
  <si>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</si>
  <si>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</si>
  <si>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</si>
  <si>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</si>
  <si>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</si>
  <si>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</si>
  <si>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</si>
  <si>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</si>
  <si>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</si>
  <si>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</si>
  <si>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</si>
  <si>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</si>
  <si>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</si>
  <si>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</si>
  <si>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</si>
  <si>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</si>
  <si>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</si>
  <si>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</si>
  <si>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</si>
  <si>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</si>
  <si>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</si>
  <si>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</si>
  <si>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</si>
  <si>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</si>
  <si>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</si>
  <si>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</si>
  <si>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</si>
  <si>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</si>
  <si>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</si>
  <si>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</si>
  <si>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</si>
  <si>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</si>
  <si>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</si>
  <si>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</si>
  <si>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</si>
  <si>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</si>
  <si>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</si>
  <si>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</si>
  <si>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</si>
  <si>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</si>
  <si>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</si>
  <si>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</si>
  <si>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</si>
  <si>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</si>
  <si>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</si>
  <si>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</si>
  <si>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</si>
  <si>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</si>
  <si>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</si>
  <si>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</si>
  <si>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</si>
  <si>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</si>
  <si>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</si>
  <si>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</si>
  <si>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</si>
  <si>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</si>
  <si>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</si>
  <si>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</si>
  <si>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</si>
  <si>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</si>
  <si>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</si>
  <si>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</si>
  <si>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</si>
  <si>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</si>
  <si>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</si>
  <si>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</si>
  <si>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</si>
  <si>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</si>
  <si>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</si>
  <si>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</si>
  <si>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</si>
  <si>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</si>
  <si>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</si>
  <si>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</si>
  <si>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</si>
  <si>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</si>
  <si>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</si>
  <si>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</si>
  <si>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</si>
  <si>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</si>
  <si>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</si>
  <si>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</si>
  <si>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</si>
  <si>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</si>
  <si>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</si>
  <si>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</si>
  <si>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</si>
  <si>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</si>
  <si>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</si>
  <si>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</si>
  <si>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</si>
  <si>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</si>
  <si>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</si>
  <si>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</si>
  <si>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</si>
  <si>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</si>
  <si>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</si>
  <si>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</si>
  <si>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</si>
  <si>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</si>
  <si>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</si>
  <si>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</si>
  <si>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</si>
  <si>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</si>
  <si>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</si>
  <si>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</si>
  <si>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</si>
  <si>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</si>
  <si>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</si>
  <si>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</si>
  <si>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</si>
  <si>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</si>
  <si>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</si>
  <si>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</si>
  <si>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</si>
  <si>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</si>
  <si>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</si>
  <si>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</si>
  <si>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</si>
  <si>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</si>
  <si>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</si>
  <si>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</si>
  <si>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</si>
  <si>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</si>
  <si>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</si>
  <si>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</si>
  <si>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</si>
  <si>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</si>
  <si>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</si>
  <si>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</si>
  <si>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</si>
  <si>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</si>
  <si>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</si>
  <si>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</si>
  <si>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</si>
  <si>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</si>
  <si>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</si>
  <si>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</si>
  <si>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</si>
  <si>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</si>
  <si>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</si>
  <si>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</si>
  <si>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</si>
  <si>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</si>
  <si>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</si>
  <si>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</si>
  <si>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</si>
  <si>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</si>
  <si>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</si>
  <si>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</si>
  <si>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</si>
  <si>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</si>
  <si>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</si>
  <si>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</si>
  <si>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</si>
  <si>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</si>
  <si>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</si>
  <si>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</si>
  <si>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</si>
  <si>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</si>
  <si>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</si>
  <si>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</si>
  <si>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</si>
  <si>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</si>
  <si>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</si>
  <si>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</si>
  <si>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</si>
  <si>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</si>
  <si>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</si>
  <si>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</si>
  <si>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</si>
  <si>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</si>
  <si>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</si>
  <si>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</si>
  <si>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</si>
  <si>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</si>
  <si>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</si>
  <si>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</si>
  <si>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</si>
  <si>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</si>
  <si>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</si>
  <si>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</si>
  <si>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</si>
  <si>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</si>
  <si>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</si>
  <si>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</si>
  <si>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</si>
  <si>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</si>
  <si>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</si>
  <si>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</si>
  <si>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</si>
  <si>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</si>
  <si>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</si>
  <si>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</si>
  <si>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</si>
  <si>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</si>
  <si>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</si>
  <si>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</si>
  <si>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</si>
  <si>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</si>
  <si>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</si>
  <si>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</si>
  <si>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</si>
  <si>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</si>
  <si>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</si>
  <si>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</si>
  <si>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</si>
  <si>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</si>
  <si>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</si>
  <si>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</si>
  <si>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</si>
  <si>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</si>
  <si>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</si>
  <si>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</si>
  <si>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</si>
  <si>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</si>
  <si>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</si>
  <si>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</si>
  <si>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</si>
  <si>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</si>
  <si>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</si>
  <si>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</si>
  <si>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</si>
  <si>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</si>
  <si>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</si>
  <si>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</si>
  <si>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</si>
  <si>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</si>
  <si>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</si>
  <si>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</si>
  <si>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</si>
  <si>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</si>
  <si>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</si>
  <si>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</si>
  <si>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</si>
  <si>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</si>
  <si>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</si>
  <si>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</si>
  <si>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</si>
  <si>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</si>
  <si>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</si>
  <si>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</si>
  <si>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</si>
  <si>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</si>
  <si>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</si>
  <si>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</si>
  <si>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</si>
  <si>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</si>
  <si>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</si>
  <si>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</si>
  <si>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</si>
  <si>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</si>
  <si>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</si>
  <si>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</si>
  <si>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</si>
  <si>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</si>
  <si>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</si>
  <si>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</si>
  <si>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</si>
  <si>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</si>
  <si>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</si>
  <si>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</si>
  <si>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</si>
  <si>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</si>
  <si>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</si>
  <si>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</si>
  <si>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</si>
  <si>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</si>
  <si>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</si>
  <si>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</si>
  <si>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</si>
  <si>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</si>
  <si>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</si>
  <si>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</si>
  <si>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</si>
  <si>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</si>
  <si>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</si>
  <si>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</si>
  <si>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</si>
  <si>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</si>
  <si>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</si>
  <si>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</si>
  <si>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</si>
  <si>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</si>
  <si>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</si>
  <si>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</si>
  <si>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</si>
  <si>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</si>
  <si>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</si>
  <si>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</si>
  <si>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</si>
  <si>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</si>
  <si>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</si>
  <si>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</si>
  <si>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</si>
  <si>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</si>
  <si>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</si>
  <si>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</si>
  <si>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</si>
  <si>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</si>
  <si>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</si>
  <si>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</si>
  <si>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</si>
  <si>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</si>
  <si>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</si>
  <si>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</si>
  <si>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</si>
  <si>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</si>
  <si>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</si>
  <si>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</si>
  <si>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</si>
  <si>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</si>
  <si>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</si>
  <si>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</si>
  <si>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</si>
  <si>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</si>
  <si>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</si>
  <si>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</si>
  <si>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</si>
  <si>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</si>
  <si>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</si>
  <si>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</si>
  <si>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</si>
  <si>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</si>
  <si>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</si>
  <si>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</si>
  <si>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</si>
  <si>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</si>
  <si>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</si>
  <si>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</si>
  <si>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</si>
  <si>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</si>
  <si>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</si>
  <si>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</si>
  <si>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</si>
  <si>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</si>
  <si>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</si>
  <si>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</si>
  <si>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</si>
  <si>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</si>
  <si>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</si>
  <si>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</si>
  <si>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</si>
  <si>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</si>
  <si>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</si>
  <si>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</si>
  <si>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</si>
  <si>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</si>
  <si>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</si>
  <si>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</si>
  <si>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</si>
  <si>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</si>
  <si>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</si>
  <si>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</si>
  <si>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</si>
  <si>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</si>
  <si>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</si>
  <si>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</si>
  <si>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</si>
  <si>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</si>
  <si>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</si>
  <si>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</si>
  <si>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</si>
  <si>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</si>
  <si>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</si>
  <si>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</si>
  <si>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</si>
  <si>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</si>
  <si>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</si>
  <si>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</si>
  <si>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</si>
  <si>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</si>
  <si>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</si>
  <si>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</si>
  <si>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</si>
  <si>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</si>
  <si>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</si>
  <si>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</si>
  <si>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</si>
  <si>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</si>
  <si>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</si>
  <si>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</si>
  <si>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</si>
  <si>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</si>
  <si>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</si>
  <si>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</si>
  <si>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</si>
  <si>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</si>
  <si>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</si>
  <si>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</si>
  <si>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</si>
  <si>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</si>
  <si>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</si>
  <si>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</si>
  <si>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</si>
  <si>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</si>
  <si>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</si>
  <si>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</si>
  <si>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</si>
  <si>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</si>
  <si>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</si>
  <si>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</si>
  <si>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</si>
  <si>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</si>
  <si>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</si>
  <si>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</si>
  <si>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</si>
  <si>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</si>
  <si>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</si>
  <si>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</si>
  <si>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</si>
  <si>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</si>
  <si>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</si>
  <si>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</si>
  <si>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</si>
  <si>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</si>
  <si>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</si>
  <si>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</si>
  <si>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</si>
  <si>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</si>
  <si>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</si>
  <si>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</si>
  <si>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</si>
  <si>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</si>
  <si>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</si>
  <si>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</si>
  <si>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</si>
  <si>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</si>
  <si>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</si>
  <si>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</si>
  <si>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</si>
  <si>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</si>
  <si>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</si>
  <si>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</si>
  <si>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</si>
  <si>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</si>
  <si>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</si>
  <si>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</si>
  <si>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</si>
  <si>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</si>
  <si>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</si>
  <si>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</si>
  <si>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</si>
  <si>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</si>
  <si>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</si>
  <si>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</si>
  <si>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</si>
  <si>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</si>
  <si>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</si>
  <si>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</si>
  <si>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</si>
  <si>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</si>
  <si>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</si>
  <si>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</si>
  <si>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</si>
  <si>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</si>
  <si>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</si>
  <si>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</si>
  <si>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</si>
  <si>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</si>
  <si>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</si>
  <si>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</si>
  <si>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</si>
  <si>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</si>
  <si>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</si>
  <si>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</si>
  <si>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</si>
  <si>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</si>
  <si>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</si>
  <si>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</si>
  <si>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</si>
  <si>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</si>
  <si>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</si>
  <si>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</si>
  <si>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</si>
  <si>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</si>
  <si>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</si>
  <si>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</si>
  <si>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</si>
  <si>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</si>
  <si>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</si>
  <si>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</si>
  <si>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</si>
  <si>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</si>
  <si>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</si>
  <si>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</si>
  <si>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</si>
  <si>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</si>
  <si>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</si>
  <si>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</si>
  <si>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</si>
  <si>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</si>
  <si>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</si>
  <si>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</si>
  <si>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</si>
  <si>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</si>
  <si>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</si>
  <si>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</si>
  <si>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</si>
  <si>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</si>
  <si>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</si>
  <si>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</si>
  <si>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</si>
  <si>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</si>
  <si>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</si>
  <si>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</si>
  <si>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</si>
  <si>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</si>
  <si>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</si>
  <si>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</si>
  <si>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</si>
  <si>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</si>
  <si>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</si>
  <si>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</si>
  <si>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</si>
  <si>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</si>
  <si>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</si>
  <si>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</si>
  <si>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</si>
  <si>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</si>
  <si>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</si>
  <si>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</si>
  <si>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</si>
  <si>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</si>
  <si>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</si>
  <si>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</si>
  <si>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</si>
  <si>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</si>
  <si>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</si>
  <si>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</si>
  <si>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</si>
  <si>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</si>
  <si>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</si>
  <si>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</si>
  <si>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</si>
  <si>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</si>
  <si>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</si>
  <si>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</si>
  <si>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</si>
  <si>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</si>
  <si>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</si>
  <si>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</si>
  <si>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</si>
  <si>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</si>
  <si>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</si>
  <si>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</si>
  <si>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</si>
  <si>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</si>
  <si>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</si>
  <si>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</si>
  <si>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</si>
  <si>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</si>
  <si>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</si>
  <si>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</si>
  <si>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</si>
  <si>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</si>
  <si>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</si>
  <si>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</si>
  <si>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</si>
  <si>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</si>
  <si>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</si>
  <si>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</si>
  <si>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</si>
  <si>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</si>
  <si>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</si>
  <si>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</si>
  <si>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</si>
  <si>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</si>
  <si>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</si>
  <si>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</si>
  <si>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</si>
  <si>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</si>
  <si>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</si>
  <si>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</si>
  <si>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</si>
  <si>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</si>
  <si>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</si>
  <si>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</si>
  <si>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</si>
  <si>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</si>
  <si>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</si>
  <si>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</si>
  <si>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</si>
  <si>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</si>
  <si>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</si>
  <si>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</si>
  <si>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</si>
  <si>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</si>
  <si>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</si>
  <si>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</si>
  <si>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</si>
  <si>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</si>
  <si>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</si>
  <si>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</si>
  <si>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</si>
  <si>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</si>
  <si>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</si>
  <si>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</si>
  <si>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</si>
  <si>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</si>
  <si>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</si>
  <si>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</si>
  <si>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</si>
  <si>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</si>
  <si>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</si>
  <si>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</si>
  <si>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</si>
  <si>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</si>
  <si>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</si>
  <si>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</si>
  <si>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</si>
  <si>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</si>
  <si>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</si>
  <si>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</si>
  <si>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</si>
  <si>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</si>
  <si>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</si>
  <si>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</si>
  <si>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</si>
  <si>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</si>
  <si>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</si>
  <si>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</si>
  <si>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</si>
  <si>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</si>
  <si>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</si>
  <si>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</si>
  <si>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</si>
  <si>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</si>
  <si>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</si>
  <si>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</si>
  <si>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</si>
  <si>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</si>
  <si>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</si>
  <si>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</si>
  <si>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</si>
  <si>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</si>
  <si>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</si>
  <si>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</si>
  <si>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</si>
  <si>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</si>
  <si>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</si>
  <si>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</si>
  <si>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</si>
  <si>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</si>
  <si>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</si>
  <si>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</si>
  <si>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</si>
  <si>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</si>
  <si>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</si>
  <si>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</si>
  <si>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</si>
  <si>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</si>
  <si>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</si>
  <si>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</si>
  <si>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</si>
  <si>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</si>
  <si>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</si>
  <si>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</si>
  <si>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</si>
  <si>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</si>
  <si>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</si>
  <si>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</si>
  <si>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</si>
  <si>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</si>
  <si>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</si>
  <si>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</si>
  <si>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</si>
  <si>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</si>
  <si>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</si>
  <si>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</si>
  <si>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</si>
  <si>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</si>
  <si>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</si>
  <si>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</si>
  <si>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</si>
  <si>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</si>
  <si>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</si>
  <si>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</si>
  <si>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</si>
  <si>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</si>
  <si>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</si>
  <si>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</si>
  <si>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</si>
  <si>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</si>
  <si>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</si>
  <si>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</si>
  <si>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</si>
  <si>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</si>
  <si>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</si>
  <si>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</si>
  <si>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</si>
  <si>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</si>
  <si>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</si>
  <si>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</si>
  <si>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</si>
  <si>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</si>
  <si>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</si>
  <si>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</si>
  <si>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</si>
  <si>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</si>
  <si>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</si>
  <si>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</si>
  <si>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</si>
  <si>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</si>
  <si>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</si>
  <si>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</si>
  <si>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</si>
  <si>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</si>
  <si>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</si>
  <si>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</si>
  <si>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</si>
  <si>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</si>
  <si>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</si>
  <si>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</si>
  <si>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</si>
  <si>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</si>
  <si>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</si>
  <si>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</si>
  <si>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</si>
  <si>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</si>
  <si>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</si>
  <si>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</si>
  <si>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</si>
  <si>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</si>
  <si>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</si>
  <si>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</si>
  <si>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</si>
  <si>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</si>
  <si>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</si>
  <si>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</si>
  <si>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</si>
  <si>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</si>
  <si>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</si>
  <si>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</si>
  <si>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</si>
  <si>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</si>
  <si>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</si>
  <si>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</si>
  <si>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</si>
  <si>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</si>
  <si>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</si>
  <si>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</si>
  <si>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</si>
  <si>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</si>
  <si>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</si>
  <si>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</si>
  <si>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</si>
  <si>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</si>
  <si>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</si>
  <si>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</si>
  <si>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</si>
  <si>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</si>
  <si>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</si>
  <si>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</si>
  <si>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</si>
  <si>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</si>
  <si>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</si>
  <si>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</si>
  <si>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</si>
  <si>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</si>
  <si>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</si>
  <si>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</si>
  <si>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</si>
  <si>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</si>
  <si>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</si>
  <si>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</si>
  <si>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</si>
  <si>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</si>
  <si>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</si>
  <si>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</si>
  <si>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</si>
  <si>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</si>
  <si>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</si>
  <si>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</si>
  <si>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</si>
  <si>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</si>
  <si>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</si>
  <si>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</si>
  <si>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</si>
  <si>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</si>
  <si>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</si>
  <si>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</si>
  <si>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</si>
  <si>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</si>
  <si>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</si>
  <si>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</si>
  <si>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</si>
  <si>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</si>
  <si>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</si>
  <si>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</si>
  <si>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</si>
  <si>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</si>
  <si>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</si>
  <si>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</si>
  <si>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</si>
  <si>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</si>
  <si>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</si>
  <si>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</si>
  <si>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</si>
  <si>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</si>
  <si>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</si>
  <si>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</si>
  <si>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</si>
  <si>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</si>
  <si>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</si>
  <si>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</si>
  <si>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</si>
  <si>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</si>
  <si>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</si>
  <si>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</si>
  <si>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</si>
  <si>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</si>
  <si>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</si>
  <si>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</si>
  <si>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</si>
  <si>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</si>
  <si>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</si>
  <si>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</si>
  <si>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</si>
  <si>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</si>
  <si>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</si>
  <si>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</si>
  <si>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</si>
  <si>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</si>
  <si>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</si>
  <si>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</si>
  <si>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</si>
  <si>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</si>
  <si>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</si>
  <si>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</si>
  <si>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</si>
  <si>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</si>
  <si>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</si>
  <si>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</si>
  <si>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</si>
  <si>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</si>
  <si>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</si>
  <si>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</si>
  <si>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</si>
  <si>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</si>
  <si>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</si>
  <si>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</si>
  <si>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</si>
  <si>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</si>
  <si>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</si>
  <si>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</si>
  <si>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</si>
  <si>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</si>
  <si>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</si>
  <si>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</si>
  <si>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</si>
  <si>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</si>
  <si>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</si>
  <si>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</si>
  <si>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</si>
  <si>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</si>
  <si>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</si>
  <si>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</si>
  <si>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</si>
  <si>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</si>
  <si>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</si>
  <si>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</si>
  <si>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</si>
  <si>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</si>
  <si>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</si>
  <si>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</si>
  <si>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</si>
  <si>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</si>
  <si>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</si>
  <si>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</si>
  <si>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</si>
  <si>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</si>
  <si>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</si>
  <si>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</si>
  <si>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</si>
  <si>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</si>
  <si>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</si>
  <si>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</si>
  <si>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</si>
  <si>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</si>
  <si>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</si>
  <si>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</si>
  <si>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</si>
  <si>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</si>
  <si>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</si>
  <si>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</si>
  <si>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</si>
  <si>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</si>
  <si>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</si>
  <si>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</si>
  <si>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</si>
  <si>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</si>
  <si>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</si>
  <si>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</si>
  <si>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</si>
  <si>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</si>
  <si>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</si>
  <si>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</si>
  <si>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</si>
  <si>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</si>
  <si>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</si>
  <si>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</si>
  <si>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</si>
  <si>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</si>
  <si>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</si>
  <si>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</si>
  <si>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</si>
  <si>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</si>
  <si>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</si>
  <si>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</si>
  <si>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</si>
  <si>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</si>
  <si>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</si>
  <si>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</si>
  <si>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</si>
  <si>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</si>
  <si>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</si>
  <si>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</si>
  <si>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</si>
  <si>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</si>
  <si>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</si>
  <si>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</si>
  <si>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</si>
  <si>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</si>
  <si>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</si>
  <si>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</si>
  <si>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</si>
  <si>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</si>
  <si>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</si>
  <si>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</si>
  <si>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</si>
  <si>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</si>
  <si>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</si>
  <si>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</si>
  <si>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</si>
  <si>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</si>
  <si>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</si>
  <si>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</si>
  <si>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</si>
  <si>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</si>
  <si>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</si>
  <si>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</si>
  <si>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</si>
  <si>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</si>
  <si>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</si>
  <si>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</si>
  <si>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</si>
  <si>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</si>
  <si>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</si>
  <si>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</si>
  <si>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</si>
  <si>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</si>
  <si>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</si>
  <si>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</si>
  <si>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</si>
  <si>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</si>
  <si>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</si>
  <si>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</si>
  <si>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</si>
  <si>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</si>
  <si>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</si>
  <si>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</si>
  <si>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</si>
  <si>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</si>
  <si>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</si>
  <si>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</si>
  <si>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</si>
  <si>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</si>
  <si>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</si>
  <si>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</si>
  <si>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</si>
  <si>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</si>
  <si>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</si>
  <si>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</si>
  <si>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</si>
  <si>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</si>
  <si>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</si>
  <si>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</si>
  <si>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</si>
  <si>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</si>
  <si>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</si>
  <si>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</si>
  <si>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</si>
  <si>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</si>
  <si>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</si>
  <si>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</si>
  <si>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</si>
  <si>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</si>
  <si>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</si>
  <si>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</si>
  <si>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</si>
  <si>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</si>
  <si>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</si>
  <si>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</si>
  <si>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</si>
  <si>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</si>
  <si>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</si>
  <si>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</si>
  <si>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</si>
  <si>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</si>
  <si>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</si>
  <si>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</si>
  <si>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</si>
  <si>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</si>
  <si>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</si>
  <si>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</si>
  <si>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</si>
  <si>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</si>
  <si>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</si>
  <si>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</si>
  <si>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</si>
  <si>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</si>
  <si>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</si>
  <si>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</si>
  <si>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</si>
  <si>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</si>
  <si>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</si>
  <si>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</si>
  <si>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</si>
  <si>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</si>
  <si>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</si>
  <si>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</si>
  <si>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</si>
  <si>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</si>
  <si>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</si>
  <si>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</si>
  <si>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</si>
  <si>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</si>
  <si>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</si>
  <si>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</si>
  <si>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</si>
  <si>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</si>
  <si>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</si>
  <si>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</si>
  <si>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</si>
  <si>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</si>
  <si>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</si>
  <si>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</si>
  <si>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</si>
  <si>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</si>
  <si>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</si>
  <si>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</si>
  <si>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</si>
  <si>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</si>
  <si>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</si>
  <si>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</si>
  <si>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</si>
  <si>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</si>
  <si>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</si>
  <si>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</si>
  <si>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</si>
  <si>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</si>
  <si>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</si>
  <si>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</si>
  <si>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</si>
  <si>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</si>
  <si>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</si>
  <si>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</si>
  <si>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</si>
  <si>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</si>
  <si>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</si>
  <si>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</si>
  <si>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</si>
  <si>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</si>
  <si>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</si>
  <si>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</si>
  <si>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</si>
  <si>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</si>
  <si>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</si>
  <si>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</si>
  <si>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</si>
  <si>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</si>
  <si>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</si>
  <si>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</si>
  <si>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</si>
  <si>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</si>
  <si>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</si>
  <si>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</si>
  <si>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</si>
  <si>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</si>
  <si>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</si>
  <si>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</si>
  <si>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</si>
  <si>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</si>
  <si>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</si>
  <si>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</si>
  <si>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</si>
  <si>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</si>
  <si>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</si>
  <si>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</si>
  <si>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</si>
  <si>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</si>
  <si>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</si>
  <si>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</si>
  <si>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</si>
  <si>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</si>
  <si>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</si>
  <si>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</si>
  <si>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</si>
  <si>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</si>
  <si>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</si>
  <si>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</si>
  <si>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</si>
  <si>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</si>
  <si>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</si>
  <si>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</si>
  <si>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</si>
  <si>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</si>
  <si>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</si>
  <si>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</si>
  <si>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</si>
  <si>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</si>
  <si>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</si>
  <si>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</si>
  <si>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</si>
  <si>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</si>
  <si>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</si>
  <si>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</si>
  <si>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</si>
  <si>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</si>
  <si>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</si>
  <si>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</si>
  <si>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</si>
  <si>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</si>
  <si>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</si>
  <si>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</si>
  <si>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</si>
  <si>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</si>
  <si>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</si>
  <si>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</si>
  <si>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</si>
  <si>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</si>
  <si>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</si>
  <si>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</si>
  <si>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</si>
  <si>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</si>
  <si>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</si>
  <si>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</si>
  <si>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</si>
  <si>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</si>
  <si>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</si>
  <si>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</si>
  <si>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</si>
  <si>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</si>
  <si>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</si>
  <si>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</si>
  <si>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</si>
  <si>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</si>
  <si>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</si>
  <si>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</si>
  <si>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</si>
  <si>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</si>
  <si>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</si>
  <si>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</si>
  <si>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</si>
  <si>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</si>
  <si>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</si>
  <si>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</si>
  <si>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</si>
  <si>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</si>
  <si>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</si>
  <si>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</si>
  <si>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</si>
  <si>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</si>
  <si>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</si>
  <si>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</si>
  <si>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</si>
  <si>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</si>
  <si>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</si>
  <si>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</si>
  <si>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</si>
  <si>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</si>
  <si>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</si>
  <si>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</si>
  <si>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</si>
  <si>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</si>
  <si>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</si>
  <si>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</si>
  <si>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</si>
  <si>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</si>
  <si>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</si>
  <si>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</si>
  <si>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</si>
  <si>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</si>
  <si>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</si>
  <si>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</si>
  <si>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</si>
  <si>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</si>
  <si>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</si>
  <si>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</si>
  <si>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</si>
  <si>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</si>
  <si>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</si>
  <si>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</si>
  <si>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</si>
  <si>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</si>
  <si>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</si>
  <si>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</si>
  <si>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</si>
  <si>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</si>
  <si>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</si>
  <si>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</si>
  <si>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</si>
  <si>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</si>
  <si>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</si>
  <si>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</si>
  <si>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</si>
  <si>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</si>
  <si>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</si>
  <si>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</si>
  <si>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</si>
  <si>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</si>
  <si>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</si>
  <si>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</si>
  <si>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</si>
  <si>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</si>
  <si>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</si>
  <si>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</si>
  <si>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</si>
  <si>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</si>
  <si>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</si>
  <si>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</si>
  <si>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</si>
  <si>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</si>
  <si>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</si>
  <si>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</si>
  <si>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</si>
  <si>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</si>
  <si>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</si>
  <si>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</si>
  <si>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</si>
  <si>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</si>
  <si>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</si>
  <si>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</si>
  <si>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</si>
  <si>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</si>
  <si>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</si>
  <si>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</si>
  <si>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</si>
  <si>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</si>
  <si>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</si>
  <si>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</si>
  <si>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</si>
  <si>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</si>
  <si>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</si>
  <si>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</si>
  <si>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</si>
  <si>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</si>
  <si>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</si>
  <si>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</si>
  <si>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</si>
  <si>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</si>
  <si>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</si>
  <si>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</si>
  <si>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</si>
  <si>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</si>
  <si>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</si>
  <si>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</si>
  <si>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</si>
  <si>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</si>
  <si>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</si>
  <si>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</si>
  <si>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</si>
  <si>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</si>
  <si>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</si>
  <si>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</si>
  <si>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</si>
  <si>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</si>
  <si>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</si>
  <si>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</si>
  <si>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</si>
  <si>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</si>
  <si>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</si>
  <si>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</si>
  <si>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</si>
  <si>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</si>
  <si>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</si>
  <si>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</si>
  <si>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</si>
  <si>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</si>
  <si>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</si>
  <si>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</si>
  <si>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</si>
  <si>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</si>
  <si>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</si>
  <si>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</si>
  <si>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</si>
  <si>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</si>
  <si>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</si>
  <si>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</si>
  <si>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</si>
  <si>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</si>
  <si>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</si>
  <si>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</si>
  <si>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</si>
  <si>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</si>
  <si>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</si>
  <si>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</si>
  <si>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</si>
  <si>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</si>
  <si>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</si>
  <si>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</si>
  <si>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</si>
  <si>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</si>
  <si>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</si>
  <si>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</si>
  <si>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</si>
  <si>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</si>
  <si>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</si>
  <si>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</si>
  <si>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</si>
  <si>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</si>
  <si>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</si>
  <si>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</si>
  <si>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</si>
  <si>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</si>
  <si>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</si>
  <si>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</si>
  <si>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</si>
  <si>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</si>
  <si>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</si>
  <si>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</si>
  <si>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</si>
  <si>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</si>
  <si>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</si>
  <si>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</si>
  <si>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</si>
  <si>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</si>
  <si>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</si>
  <si>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</si>
  <si>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</si>
  <si>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</si>
  <si>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</si>
  <si>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</si>
  <si>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</si>
  <si>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</si>
  <si>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</si>
  <si>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</si>
  <si>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</si>
  <si>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</si>
  <si>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</si>
  <si>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</si>
  <si>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</si>
  <si>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</si>
  <si>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</si>
  <si>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</si>
  <si>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</si>
  <si>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</si>
  <si>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</si>
  <si>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</si>
  <si>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</si>
  <si>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</si>
  <si>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</si>
  <si>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</si>
  <si>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</si>
  <si>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</si>
  <si>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</si>
  <si>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</si>
  <si>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</si>
  <si>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</si>
  <si>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</si>
  <si>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</si>
  <si>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</si>
  <si>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</si>
  <si>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</si>
  <si>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</si>
  <si>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</si>
  <si>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</si>
  <si>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</si>
  <si>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</si>
  <si>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</si>
  <si>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</si>
  <si>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</si>
  <si>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</si>
  <si>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</si>
  <si>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</si>
  <si>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</si>
  <si>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</si>
  <si>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</si>
  <si>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</si>
  <si>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</si>
  <si>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</si>
  <si>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</si>
  <si>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</si>
  <si>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</si>
  <si>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</si>
  <si>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</si>
  <si>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</si>
  <si>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</si>
  <si>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</si>
  <si>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</si>
  <si>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</si>
  <si>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</si>
  <si>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</si>
  <si>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</si>
  <si>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</si>
  <si>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</si>
  <si>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</si>
  <si>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</si>
  <si>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</si>
  <si>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</si>
  <si>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</si>
  <si>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</si>
  <si>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</si>
  <si>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</si>
  <si>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</si>
  <si>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</si>
  <si>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</si>
  <si>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</si>
  <si>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</si>
  <si>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</si>
  <si>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</si>
  <si>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</si>
  <si>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</si>
  <si>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</si>
  <si>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</si>
  <si>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</si>
  <si>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</si>
  <si>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</si>
  <si>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</si>
  <si>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</si>
  <si>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</si>
  <si>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</si>
  <si>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</si>
  <si>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</si>
  <si>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</si>
  <si>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</si>
  <si>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</si>
  <si>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</si>
  <si>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</si>
  <si>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</si>
  <si>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</si>
  <si>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</si>
  <si>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</si>
  <si>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</si>
  <si>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</si>
  <si>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</si>
  <si>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</si>
  <si>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</si>
  <si>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</si>
  <si>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</si>
  <si>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</si>
  <si>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</si>
  <si>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</si>
  <si>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</si>
  <si>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</si>
  <si>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</si>
  <si>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</si>
  <si>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</si>
  <si>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</si>
  <si>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</si>
  <si>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</si>
  <si>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</si>
  <si>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</si>
  <si>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</si>
  <si>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</si>
  <si>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</si>
  <si>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</si>
  <si>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</si>
  <si>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</si>
  <si>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</si>
  <si>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</si>
  <si>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</si>
  <si>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</si>
  <si>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</si>
  <si>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</si>
  <si>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</si>
  <si>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</si>
  <si>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</si>
  <si>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</si>
  <si>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</si>
  <si>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</si>
  <si>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</si>
  <si>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</si>
  <si>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</si>
  <si>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</si>
  <si>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</si>
  <si>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</si>
  <si>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</si>
  <si>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</si>
  <si>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</si>
  <si>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</si>
  <si>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</si>
  <si>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</si>
  <si>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</si>
  <si>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</si>
  <si>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</si>
  <si>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</si>
  <si>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</si>
  <si>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</si>
  <si>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</si>
  <si>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</si>
  <si>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</si>
  <si>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</si>
  <si>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</si>
  <si>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</si>
  <si>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</si>
  <si>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</si>
  <si>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</si>
  <si>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</si>
  <si>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</si>
  <si>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</si>
  <si>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</si>
  <si>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</si>
  <si>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</si>
  <si>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</si>
  <si>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</si>
  <si>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</si>
  <si>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</si>
  <si>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</si>
  <si>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</si>
  <si>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</si>
  <si>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</si>
  <si>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</si>
  <si>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</si>
  <si>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</si>
  <si>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</si>
  <si>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</si>
  <si>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</si>
  <si>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</si>
  <si>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</si>
  <si>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</si>
  <si>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</si>
  <si>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</si>
  <si>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</si>
  <si>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</si>
  <si>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</si>
  <si>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</si>
  <si>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</si>
  <si>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</si>
  <si>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</si>
  <si>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</si>
  <si>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</si>
  <si>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</si>
  <si>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</si>
  <si>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</si>
  <si>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</si>
  <si>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</si>
  <si>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</si>
  <si>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</si>
  <si>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</si>
  <si>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</si>
  <si>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</si>
  <si>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</si>
  <si>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</si>
  <si>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</si>
  <si>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</si>
  <si>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</si>
  <si>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</si>
  <si>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</si>
  <si>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</si>
  <si>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</si>
  <si>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</si>
  <si>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</si>
  <si>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</si>
  <si>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</si>
  <si>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</si>
  <si>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</si>
  <si>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</si>
  <si>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</si>
  <si>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</si>
  <si>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</si>
  <si>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</si>
  <si>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</si>
  <si>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</si>
  <si>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</si>
  <si>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</si>
  <si>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</si>
  <si>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</si>
  <si>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</si>
  <si>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</si>
  <si>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</si>
  <si>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</si>
  <si>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</si>
  <si>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</si>
  <si>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</si>
  <si>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</si>
  <si>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</si>
  <si>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</si>
  <si>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</si>
  <si>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</si>
  <si>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</si>
  <si>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</si>
  <si>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</si>
  <si>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</si>
  <si>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</si>
  <si>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</si>
  <si>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</si>
  <si>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</si>
  <si>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</si>
  <si>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</si>
  <si>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</si>
  <si>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</si>
  <si>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</si>
  <si>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</si>
  <si>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</si>
  <si>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</si>
  <si>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</si>
  <si>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</si>
  <si>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</si>
  <si>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</si>
  <si>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</si>
  <si>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</si>
  <si>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</si>
  <si>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</si>
  <si>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</si>
  <si>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</si>
  <si>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</si>
  <si>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</si>
  <si>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</si>
  <si>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</si>
  <si>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</si>
  <si>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</si>
  <si>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</si>
  <si>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</si>
  <si>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</si>
  <si>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</si>
  <si>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</si>
  <si>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</si>
  <si>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</si>
  <si>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</si>
  <si>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</si>
  <si>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</si>
  <si>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</si>
  <si>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</si>
  <si>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</si>
  <si>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</si>
  <si>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</si>
  <si>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</si>
  <si>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</si>
  <si>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</si>
  <si>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</si>
  <si>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</si>
  <si>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</si>
  <si>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</si>
  <si>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</si>
  <si>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</si>
  <si>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</si>
  <si>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</si>
  <si>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</si>
  <si>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</si>
  <si>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</si>
  <si>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</si>
  <si>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</si>
  <si>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</si>
  <si>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</si>
  <si>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</si>
  <si>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</si>
  <si>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</si>
  <si>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</si>
  <si>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</si>
  <si>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</si>
  <si>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</si>
  <si>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</si>
  <si>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</si>
  <si>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</si>
  <si>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</si>
  <si>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</si>
  <si>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</si>
  <si>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</si>
  <si>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</si>
  <si>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</si>
  <si>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</si>
  <si>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</si>
  <si>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</si>
  <si>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</si>
  <si>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</si>
  <si>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</si>
  <si>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</si>
  <si>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</si>
  <si>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</si>
  <si>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</si>
  <si>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</si>
  <si>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</si>
  <si>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</si>
  <si>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</si>
  <si>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</si>
  <si>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</si>
  <si>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</si>
  <si>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</si>
  <si>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</si>
  <si>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</si>
  <si>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</si>
  <si>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</si>
  <si>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</si>
  <si>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</si>
  <si>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</si>
  <si>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</si>
  <si>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</si>
  <si>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</si>
  <si>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</si>
  <si>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</si>
  <si>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</si>
  <si>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</si>
  <si>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</si>
  <si>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</si>
  <si>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</si>
  <si>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</si>
  <si>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</si>
  <si>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</si>
  <si>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</si>
  <si>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</si>
  <si>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</si>
  <si>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</si>
  <si>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</si>
  <si>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</si>
  <si>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</si>
  <si>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</si>
  <si>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</si>
  <si>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</si>
  <si>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</si>
  <si>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</si>
  <si>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</si>
  <si>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</si>
  <si>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</si>
  <si>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</si>
  <si>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</si>
  <si>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</si>
  <si>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</si>
  <si>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</si>
  <si>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</si>
  <si>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</si>
  <si>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</si>
  <si>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</si>
  <si>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</si>
  <si>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</si>
  <si>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</si>
  <si>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</si>
  <si>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</si>
  <si>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</si>
  <si>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</si>
  <si>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</si>
  <si>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</si>
  <si>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</si>
  <si>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</si>
  <si>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</si>
  <si>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</si>
  <si>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</si>
  <si>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</si>
  <si>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</si>
  <si>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</si>
  <si>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</si>
  <si>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</si>
  <si>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</si>
  <si>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</si>
  <si>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</si>
  <si>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</si>
  <si>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</si>
  <si>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</si>
  <si>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</si>
  <si>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</si>
  <si>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</si>
  <si>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</si>
  <si>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</si>
  <si>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</si>
  <si>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</si>
  <si>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</si>
  <si>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</si>
  <si>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</si>
  <si>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</si>
  <si>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</si>
  <si>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</si>
  <si>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</si>
  <si>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</si>
  <si>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</si>
  <si>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</si>
  <si>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</si>
  <si>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</si>
  <si>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</si>
  <si>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</si>
  <si>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</si>
  <si>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</si>
  <si>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</si>
  <si>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</si>
  <si>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</si>
  <si>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</si>
  <si>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</si>
  <si>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</si>
  <si>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</si>
  <si>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</si>
  <si>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</si>
  <si>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</si>
  <si>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</si>
  <si>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</si>
  <si>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</si>
  <si>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</si>
  <si>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</si>
  <si>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</si>
  <si>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</si>
  <si>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</si>
  <si>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</si>
  <si>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</si>
  <si>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</si>
  <si>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</si>
  <si>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</si>
  <si>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</si>
  <si>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</si>
  <si>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</si>
  <si>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</si>
  <si>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</si>
  <si>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</si>
  <si>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</si>
  <si>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</si>
  <si>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</si>
  <si>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</si>
  <si>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</si>
  <si>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</si>
  <si>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</si>
  <si>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</si>
  <si>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</si>
  <si>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</si>
  <si>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</si>
  <si>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</si>
  <si>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</si>
  <si>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</si>
  <si>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</si>
  <si>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</si>
  <si>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</si>
  <si>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</si>
  <si>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</si>
  <si>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</si>
  <si>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</si>
  <si>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</si>
  <si>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</si>
  <si>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</si>
  <si>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</si>
  <si>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</si>
  <si>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</si>
  <si>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</si>
  <si>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</si>
  <si>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</si>
  <si>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</si>
  <si>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</si>
  <si>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</si>
  <si>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</si>
  <si>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</si>
  <si>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</si>
  <si>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</si>
  <si>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</si>
  <si>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</si>
  <si>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</si>
  <si>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</si>
  <si>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</si>
  <si>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</si>
  <si>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</si>
  <si>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</si>
  <si>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</si>
  <si>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</si>
  <si>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</si>
  <si>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</si>
  <si>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</si>
  <si>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</si>
  <si>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</si>
  <si>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</si>
  <si>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</si>
  <si>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</si>
  <si>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</si>
  <si>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</si>
  <si>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</si>
  <si>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</si>
  <si>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</si>
  <si>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</si>
  <si>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</si>
  <si>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</si>
  <si>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</si>
  <si>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</si>
  <si>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</si>
  <si>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</si>
  <si>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</si>
  <si>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</si>
  <si>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</si>
  <si>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</si>
  <si>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</si>
  <si>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</si>
  <si>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</si>
  <si>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</si>
  <si>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</si>
  <si>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</si>
  <si>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</si>
  <si>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</si>
  <si>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</si>
  <si>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</si>
  <si>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</si>
  <si>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</si>
  <si>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</si>
  <si>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</si>
  <si>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</si>
  <si>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</si>
  <si>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</si>
  <si>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</si>
  <si>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</si>
  <si>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</si>
  <si>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</si>
  <si>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</si>
  <si>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</si>
  <si>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</si>
  <si>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</si>
  <si>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</si>
  <si>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</si>
  <si>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</si>
  <si>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</si>
  <si>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Sum of Profit</t>
  </si>
  <si>
    <t>All</t>
  </si>
  <si>
    <t>Row Labels</t>
  </si>
  <si>
    <t>Sum of Revenue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</si>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</sst>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2"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1-450C-838B-7B1D5D227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383824"/>
        <c:axId val="1573383344"/>
      </c:barChart>
      <c:catAx>
        <c:axId val="157338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83344"/>
        <c:crosses val="autoZero"/>
        <c:auto val="1"/>
        <c:lblAlgn val="ctr"/>
        <c:lblOffset val="100"/>
        <c:noMultiLvlLbl val="0"/>
      </c:catAx>
      <c:valAx>
        <c:axId val="15733833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338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99FF"/>
          </a:solidFill>
          <a:ln>
            <a:noFill/>
          </a:ln>
          <a:effectLst/>
        </c:spPr>
      </c:pivotFmt>
      <c:pivotFmt>
        <c:idx val="2"/>
        <c:spPr>
          <a:solidFill>
            <a:srgbClr val="CC99FF"/>
          </a:solidFill>
          <a:ln>
            <a:noFill/>
          </a:ln>
          <a:effectLst/>
        </c:spPr>
      </c:pivotFmt>
      <c:pivotFmt>
        <c:idx val="3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E-4321-B285-8C430CB192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73379984"/>
        <c:axId val="1573394384"/>
      </c:barChart>
      <c:catAx>
        <c:axId val="1573379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94384"/>
        <c:crosses val="autoZero"/>
        <c:auto val="1"/>
        <c:lblAlgn val="ctr"/>
        <c:lblOffset val="100"/>
        <c:noMultiLvlLbl val="0"/>
      </c:catAx>
      <c:valAx>
        <c:axId val="1573394384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57337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Revenue/Expense/Profit By Category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6-4AE4-B634-24FAE23B9535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46-4AE4-B634-24FAE23B9535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46-4AE4-B634-24FAE23B9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8255056"/>
        <c:axId val="1218256496"/>
      </c:lineChart>
      <c:catAx>
        <c:axId val="121825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256496"/>
        <c:crosses val="autoZero"/>
        <c:auto val="1"/>
        <c:lblAlgn val="ctr"/>
        <c:lblOffset val="100"/>
        <c:noMultiLvlLbl val="0"/>
      </c:catAx>
      <c:valAx>
        <c:axId val="1218256496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25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4!PivotTable5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</a:t>
            </a:r>
            <a:r>
              <a:rPr lang="en-US" b="1" i="1" u="sng" baseline="0">
                <a:solidFill>
                  <a:schemeClr val="tx1"/>
                </a:solidFill>
              </a:rPr>
              <a:t> Of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0.407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9.4444444444444442E-2"/>
              <c:y val="-0.347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0.3240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8.611111111111111E-2"/>
              <c:y val="-0.282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0.407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9.4444444444444442E-2"/>
              <c:y val="-0.347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0.3240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8.611111111111111E-2"/>
              <c:y val="-0.282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0.407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9.4444444444444442E-2"/>
              <c:y val="-0.347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0.3240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8.611111111111111E-2"/>
              <c:y val="-0.282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1944444444444445"/>
                  <c:y val="-0.407407407407407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F4-4376-B9C8-F5D1580C0682}"/>
                </c:ext>
              </c:extLst>
            </c:dLbl>
            <c:dLbl>
              <c:idx val="1"/>
              <c:layout>
                <c:manualLayout>
                  <c:x val="9.4444444444444442E-2"/>
                  <c:y val="-0.347222222222222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F4-4376-B9C8-F5D1580C0682}"/>
                </c:ext>
              </c:extLst>
            </c:dLbl>
            <c:dLbl>
              <c:idx val="2"/>
              <c:layout>
                <c:manualLayout>
                  <c:x val="9.166666666666666E-2"/>
                  <c:y val="-0.3240740740740740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F4-4376-B9C8-F5D1580C0682}"/>
                </c:ext>
              </c:extLst>
            </c:dLbl>
            <c:dLbl>
              <c:idx val="3"/>
              <c:layout>
                <c:manualLayout>
                  <c:x val="8.611111111111111E-2"/>
                  <c:y val="-0.282407407407407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F4-4376-B9C8-F5D1580C0682}"/>
                </c:ext>
              </c:extLst>
            </c:dLbl>
            <c:dLbl>
              <c:idx val="4"/>
              <c:layout>
                <c:manualLayout>
                  <c:x val="-1.6666666666666666E-2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F4-4376-B9C8-F5D1580C068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F4-4376-B9C8-F5D1580C0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93360"/>
        <c:axId val="194891920"/>
      </c:areaChart>
      <c:catAx>
        <c:axId val="19489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91920"/>
        <c:crosses val="autoZero"/>
        <c:auto val="1"/>
        <c:lblAlgn val="ctr"/>
        <c:lblOffset val="100"/>
        <c:noMultiLvlLbl val="0"/>
      </c:catAx>
      <c:valAx>
        <c:axId val="194891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89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 for Each Category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33333333333333E-2"/>
              <c:y val="-8.4875562720133283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7222222222222117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222222222222221E-2"/>
              <c:y val="-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555555555555582E-2"/>
              <c:y val="9.259259259259173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2.314814814814812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05"/>
              <c:y val="-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2.314814814814812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33333333333333E-2"/>
              <c:y val="-8.4875562720133283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7222222222222117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222222222222221E-2"/>
              <c:y val="-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555555555555582E-2"/>
              <c:y val="9.259259259259173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05"/>
              <c:y val="-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2.314814814814812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33333333333333E-2"/>
              <c:y val="-8.4875562720133283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7222222222222117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222222222222221E-2"/>
              <c:y val="-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555555555555582E-2"/>
              <c:y val="9.259259259259173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05"/>
              <c:y val="-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FF-439C-B336-17D42512BC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FF-439C-B336-17D42512BC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FF-439C-B336-17D42512BC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FF-439C-B336-17D42512B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3FF-439C-B336-17D42512BC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3FF-439C-B336-17D42512BC1D}"/>
              </c:ext>
            </c:extLst>
          </c:dPt>
          <c:dLbls>
            <c:dLbl>
              <c:idx val="0"/>
              <c:layout>
                <c:manualLayout>
                  <c:x val="4.9999999999999899E-2"/>
                  <c:y val="2.314814814814812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FF-439C-B336-17D42512BC1D}"/>
                </c:ext>
              </c:extLst>
            </c:dLbl>
            <c:dLbl>
              <c:idx val="1"/>
              <c:layout>
                <c:manualLayout>
                  <c:x val="3.3333333333333333E-2"/>
                  <c:y val="-8.4875562720133283E-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FF-439C-B336-17D42512BC1D}"/>
                </c:ext>
              </c:extLst>
            </c:dLbl>
            <c:dLbl>
              <c:idx val="2"/>
              <c:layout>
                <c:manualLayout>
                  <c:x val="4.7222222222222117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FF-439C-B336-17D42512BC1D}"/>
                </c:ext>
              </c:extLst>
            </c:dLbl>
            <c:dLbl>
              <c:idx val="3"/>
              <c:layout>
                <c:manualLayout>
                  <c:x val="-4.7222222222222221E-2"/>
                  <c:y val="-9.259259259259258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3FF-439C-B336-17D42512BC1D}"/>
                </c:ext>
              </c:extLst>
            </c:dLbl>
            <c:dLbl>
              <c:idx val="4"/>
              <c:layout>
                <c:manualLayout>
                  <c:x val="-3.0555555555555582E-2"/>
                  <c:y val="9.259259259259173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3FF-439C-B336-17D42512BC1D}"/>
                </c:ext>
              </c:extLst>
            </c:dLbl>
            <c:dLbl>
              <c:idx val="5"/>
              <c:layout>
                <c:manualLayout>
                  <c:x val="-0.05"/>
                  <c:y val="-4.629629629629629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3FF-439C-B336-17D42512BC1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3FF-439C-B336-17D42512BC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E-4AD9-B515-8F9BED353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383824"/>
        <c:axId val="1573383344"/>
      </c:barChart>
      <c:catAx>
        <c:axId val="157338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83344"/>
        <c:crosses val="autoZero"/>
        <c:auto val="1"/>
        <c:lblAlgn val="ctr"/>
        <c:lblOffset val="100"/>
        <c:noMultiLvlLbl val="0"/>
      </c:catAx>
      <c:valAx>
        <c:axId val="15733833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338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99FF"/>
          </a:solidFill>
          <a:ln>
            <a:noFill/>
          </a:ln>
          <a:effectLst/>
        </c:spPr>
      </c:pivotFmt>
      <c:pivotFmt>
        <c:idx val="2"/>
        <c:spPr>
          <a:solidFill>
            <a:srgbClr val="CC99FF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3-4883-98C1-1D5255FD59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73379984"/>
        <c:axId val="1573394384"/>
      </c:barChart>
      <c:catAx>
        <c:axId val="1573379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94384"/>
        <c:crosses val="autoZero"/>
        <c:auto val="1"/>
        <c:lblAlgn val="ctr"/>
        <c:lblOffset val="100"/>
        <c:noMultiLvlLbl val="0"/>
      </c:catAx>
      <c:valAx>
        <c:axId val="1573394384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57337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Revenue/Expense/Profit By Category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2-4BF9-8B84-F126149EC24C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2-4BF9-8B84-F126149EC24C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D2-4BF9-8B84-F126149EC24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8255056"/>
        <c:axId val="1218256496"/>
      </c:lineChart>
      <c:catAx>
        <c:axId val="121825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256496"/>
        <c:crosses val="autoZero"/>
        <c:auto val="1"/>
        <c:lblAlgn val="ctr"/>
        <c:lblOffset val="100"/>
        <c:noMultiLvlLbl val="0"/>
      </c:catAx>
      <c:valAx>
        <c:axId val="1218256496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25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</a:t>
            </a:r>
            <a:r>
              <a:rPr lang="en-US" b="1" i="1" u="sng" baseline="0">
                <a:solidFill>
                  <a:schemeClr val="tx1"/>
                </a:solidFill>
              </a:rPr>
              <a:t> Of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0.407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9.4444444444444442E-2"/>
              <c:y val="-0.347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0.3240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8.611111111111111E-2"/>
              <c:y val="-0.282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CC99FF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1944444444444445"/>
                  <c:y val="-0.407407407407407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23-4B52-AA43-865DCA8C2A4B}"/>
                </c:ext>
              </c:extLst>
            </c:dLbl>
            <c:dLbl>
              <c:idx val="1"/>
              <c:layout>
                <c:manualLayout>
                  <c:x val="9.4444444444444442E-2"/>
                  <c:y val="-0.347222222222222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23-4B52-AA43-865DCA8C2A4B}"/>
                </c:ext>
              </c:extLst>
            </c:dLbl>
            <c:dLbl>
              <c:idx val="2"/>
              <c:layout>
                <c:manualLayout>
                  <c:x val="9.166666666666666E-2"/>
                  <c:y val="-0.3240740740740740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23-4B52-AA43-865DCA8C2A4B}"/>
                </c:ext>
              </c:extLst>
            </c:dLbl>
            <c:dLbl>
              <c:idx val="3"/>
              <c:layout>
                <c:manualLayout>
                  <c:x val="8.611111111111111E-2"/>
                  <c:y val="-0.282407407407407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23-4B52-AA43-865DCA8C2A4B}"/>
                </c:ext>
              </c:extLst>
            </c:dLbl>
            <c:dLbl>
              <c:idx val="4"/>
              <c:layout>
                <c:manualLayout>
                  <c:x val="-1.6666666666666666E-2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23-4B52-AA43-865DCA8C2A4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3-4B52-AA43-865DCA8C2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93360"/>
        <c:axId val="194891920"/>
      </c:areaChart>
      <c:catAx>
        <c:axId val="19489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91920"/>
        <c:crosses val="autoZero"/>
        <c:auto val="1"/>
        <c:lblAlgn val="ctr"/>
        <c:lblOffset val="100"/>
        <c:noMultiLvlLbl val="0"/>
      </c:catAx>
      <c:valAx>
        <c:axId val="194891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89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 for Each Category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33333333333333E-2"/>
              <c:y val="-8.4875562720133283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7222222222222117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222222222222221E-2"/>
              <c:y val="-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555555555555582E-2"/>
              <c:y val="9.259259259259173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2.314814814814812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05"/>
              <c:y val="-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9BF-4FDA-8954-53E07A99D7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9BF-4FDA-8954-53E07A99D7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BF-4FDA-8954-53E07A99D7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9BF-4FDA-8954-53E07A99D7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BF-4FDA-8954-53E07A99D7F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BF-4FDA-8954-53E07A99D7F6}"/>
              </c:ext>
            </c:extLst>
          </c:dPt>
          <c:dLbls>
            <c:dLbl>
              <c:idx val="0"/>
              <c:layout>
                <c:manualLayout>
                  <c:x val="4.9999999999999899E-2"/>
                  <c:y val="2.314814814814812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9BF-4FDA-8954-53E07A99D7F6}"/>
                </c:ext>
              </c:extLst>
            </c:dLbl>
            <c:dLbl>
              <c:idx val="1"/>
              <c:layout>
                <c:manualLayout>
                  <c:x val="3.3333333333333333E-2"/>
                  <c:y val="-8.4875562720133283E-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BF-4FDA-8954-53E07A99D7F6}"/>
                </c:ext>
              </c:extLst>
            </c:dLbl>
            <c:dLbl>
              <c:idx val="2"/>
              <c:layout>
                <c:manualLayout>
                  <c:x val="4.7222222222222117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BF-4FDA-8954-53E07A99D7F6}"/>
                </c:ext>
              </c:extLst>
            </c:dLbl>
            <c:dLbl>
              <c:idx val="3"/>
              <c:layout>
                <c:manualLayout>
                  <c:x val="-4.7222222222222221E-2"/>
                  <c:y val="-9.259259259259258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BF-4FDA-8954-53E07A99D7F6}"/>
                </c:ext>
              </c:extLst>
            </c:dLbl>
            <c:dLbl>
              <c:idx val="4"/>
              <c:layout>
                <c:manualLayout>
                  <c:x val="-3.0555555555555582E-2"/>
                  <c:y val="9.259259259259173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BF-4FDA-8954-53E07A99D7F6}"/>
                </c:ext>
              </c:extLst>
            </c:dLbl>
            <c:dLbl>
              <c:idx val="5"/>
              <c:layout>
                <c:manualLayout>
                  <c:x val="-0.05"/>
                  <c:y val="-4.629629629629629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9BF-4FDA-8954-53E07A99D7F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F-4FDA-8954-53E07A99D7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7</xdr:col>
      <xdr:colOff>146050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A8913F-5E5E-49E8-AD37-C5C4D7BAF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279400</xdr:colOff>
      <xdr:row>5</xdr:row>
      <xdr:rowOff>6350</xdr:rowOff>
    </xdr:from>
    <xdr:to>
      <xdr:col>13</xdr:col>
      <xdr:colOff>304800</xdr:colOff>
      <xdr:row>18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CB0B7F-4E20-42CC-97D5-D611EEA07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584200</xdr:colOff>
      <xdr:row>19</xdr:row>
      <xdr:rowOff>50800</xdr:rowOff>
    </xdr:from>
    <xdr:to>
      <xdr:col>10</xdr:col>
      <xdr:colOff>330200</xdr:colOff>
      <xdr:row>31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4CD95B-B78C-439A-A3F4-966C0E25C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450850</xdr:colOff>
      <xdr:row>5</xdr:row>
      <xdr:rowOff>12700</xdr:rowOff>
    </xdr:from>
    <xdr:to>
      <xdr:col>19</xdr:col>
      <xdr:colOff>222250</xdr:colOff>
      <xdr:row>18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570FF7-BD4B-4374-8F14-CC7CA231C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533400</xdr:colOff>
      <xdr:row>19</xdr:row>
      <xdr:rowOff>31750</xdr:rowOff>
    </xdr:from>
    <xdr:to>
      <xdr:col>16</xdr:col>
      <xdr:colOff>584200</xdr:colOff>
      <xdr:row>31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B230B2-E6EC-4BEA-AA22-C6ABB32C1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120650</xdr:colOff>
      <xdr:row>1</xdr:row>
      <xdr:rowOff>88900</xdr:rowOff>
    </xdr:from>
    <xdr:to>
      <xdr:col>10</xdr:col>
      <xdr:colOff>425450</xdr:colOff>
      <xdr:row>16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050630-BE85-C024-7E82-8A7392693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463550</xdr:colOff>
      <xdr:row>1</xdr:row>
      <xdr:rowOff>152400</xdr:rowOff>
    </xdr:from>
    <xdr:to>
      <xdr:col>10</xdr:col>
      <xdr:colOff>158750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B1CDCA-A13E-DFDA-6C42-C73C850E1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9</xdr:row>
      <xdr:rowOff>57150</xdr:rowOff>
    </xdr:from>
    <xdr:to>
      <xdr:col>8</xdr:col>
      <xdr:colOff>514350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E5B493-1320-B55D-A2FE-A9E5920A8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298450</xdr:colOff>
      <xdr:row>2</xdr:row>
      <xdr:rowOff>152400</xdr:rowOff>
    </xdr:from>
    <xdr:to>
      <xdr:col>9</xdr:col>
      <xdr:colOff>603250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7887A-3BF4-AF4B-0F68-3941EC3C3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1</xdr:row>
      <xdr:rowOff>31750</xdr:rowOff>
    </xdr:from>
    <xdr:to>
      <xdr:col>10</xdr:col>
      <xdr:colOff>146050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4161A-9DEB-58E4-0EB6-3511B1DDE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wmya Thokala" refreshedDate="45843.579812384261" backgroundQuery="1" createdVersion="8" refreshedVersion="8" minRefreshableVersion="3" recordCount="0" supportSubquery="1" supportAdvancedDrill="1" xr:uid="{49F85259-4AAA-4160-AB9C-826849CB1539}">
  <cacheSource type="external" connectionId="1"/>
  <cacheFields count="4">
    <cacheField name="[Range].[Region].[Region]" caption="Region" numFmtId="0" hierarchy="6" level="1">
      <sharedItems count="5">
        <s v="Africa"/>
        <s v="Asia-Pacific"/>
        <s v="Europe"/>
        <s v="North America"/>
        <s v="South America"/>
      </sharedItems>
    </cacheField>
    <cacheField name="[Range].[Product_Line].[Product_Line]" caption="Product_Line" numFmtId="0" hierarchy="8" level="1">
      <sharedItems count="5">
        <s v="Clothing"/>
        <s v="Electronics"/>
        <s v="Furniture"/>
        <s v="Healthcare"/>
        <s v="Software"/>
      </sharedItems>
    </cacheField>
    <cacheField name="[Measures].[Sum of Profit]" caption="Sum of Profit" numFmtId="0" hierarchy="14" level="32767"/>
    <cacheField name="[Range].[Payment_Method].[Payment_Method]" caption="Payment_Method" numFmtId="0" hierarchy="10" level="1">
      <sharedItems containsSemiMixedTypes="0" containsNonDate="0" containsString="0"/>
    </cacheField>
  </cacheFields>
  <cacheHierarchies count="18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Range].[Expenses]" caption="Expenses" attribute="1" defaultMemberUniqueName="[Range].[Expenses].[All]" allUniqueName="[Range].[Expens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Product_Line]" caption="Product_Line" attribute="1" defaultMemberUniqueName="[Range].[Product_Line].[All]" allUniqueName="[Range].[Product_Lin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ustomer_Segment]" caption="Customer_Segment" attribute="1" defaultMemberUniqueName="[Range].[Customer_Segment].[All]" allUniqueName="[Range].[Customer_Segment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2" memberValueDatatype="130" unbalanced="0">
      <fieldsUsage count="2">
        <fieldUsage x="-1"/>
        <fieldUsage x="3"/>
      </fieldsUsage>
    </cacheHierarchy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xpenses]" caption="Sum of Expense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ofit]" caption="Average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wmya Thokala" refreshedDate="45843.582352199075" backgroundQuery="1" createdVersion="8" refreshedVersion="8" minRefreshableVersion="3" recordCount="0" supportSubquery="1" supportAdvancedDrill="1" xr:uid="{EEEB69C4-C638-4713-980B-FA5295D73B5D}">
  <cacheSource type="external" connectionId="1"/>
  <cacheFields count="5">
    <cacheField name="[Range].[Region].[Region]" caption="Region" numFmtId="0" hierarchy="6" level="1">
      <sharedItems count="5">
        <s v="Africa"/>
        <s v="Asia-Pacific"/>
        <s v="Europe"/>
        <s v="North America"/>
        <s v="South America"/>
      </sharedItems>
    </cacheField>
    <cacheField name="[Range].[Product_Line].[Product_Line]" caption="Product_Line" numFmtId="0" hierarchy="8" level="1">
      <sharedItems count="5">
        <s v="Clothing"/>
        <s v="Electronics"/>
        <s v="Furniture"/>
        <s v="Healthcare"/>
        <s v="Software"/>
      </sharedItems>
    </cacheField>
    <cacheField name="[Measures].[Sum of Profit]" caption="Sum of Profit" numFmtId="0" hierarchy="14" level="32767"/>
    <cacheField name="[Range].[Department].[Department]" caption="Department" numFmtId="0" hierarchy="7" level="1">
      <sharedItems containsSemiMixedTypes="0" containsNonDate="0" containsString="0"/>
    </cacheField>
    <cacheField name="[Range].[Customer_Segment].[Customer_Segment]" caption="Customer_Segment" numFmtId="0" hierarchy="9" level="1">
      <sharedItems containsSemiMixedTypes="0" containsNonDate="0" containsString="0"/>
    </cacheField>
  </cacheFields>
  <cacheHierarchies count="18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Range].[Expenses]" caption="Expenses" attribute="1" defaultMemberUniqueName="[Range].[Expenses].[All]" allUniqueName="[Range].[Expens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3"/>
      </fieldsUsage>
    </cacheHierarchy>
    <cacheHierarchy uniqueName="[Range].[Product_Line]" caption="Product_Line" attribute="1" defaultMemberUniqueName="[Range].[Product_Line].[All]" allUniqueName="[Range].[Product_Lin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ustomer_Segment]" caption="Customer_Segment" attribute="1" defaultMemberUniqueName="[Range].[Customer_Segment].[All]" allUniqueName="[Range].[Customer_Segment].[All]" dimensionUniqueName="[Range]" displayFolder="" count="2" memberValueDatatype="130" unbalanced="0">
      <fieldsUsage count="2">
        <fieldUsage x="-1"/>
        <fieldUsage x="4"/>
      </fieldsUsage>
    </cacheHierarchy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xpenses]" caption="Sum of Expense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ofit]" caption="Average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EF891-BD5F-47E4-BD59-C2897CB862C7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21:C52" firstHeaderRow="1" firstDataRow="1" firstDataCol="2" rowPageCount="1" colPageCount="1"/>
  <pivotFields count="4">
    <pivotField axis="axisRow" compact="0" allDrilled="1" outline="0" subtotalTop="0" showAll="0" defaultAttributeDrillState="1">
      <items count="6">
        <item x="0"/>
        <item x="1"/>
        <item x="2"/>
        <item x="3"/>
        <item x="4"/>
        <item t="default"/>
      </items>
    </pivotField>
    <pivotField axis="axisRow" compact="0" allDrilled="1" outline="0" subtotalTop="0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compact="0" outline="0" subtotalTop="0" showAll="0" defaultSubtotal="0"/>
    <pivotField axis="axisPage" compact="0" allDrilled="1" outline="0" subtotalTop="0" showAll="0" dataSourceSort="1" defaultAttributeDrillState="1">
      <items count="1">
        <item t="default"/>
      </items>
    </pivotField>
  </pivotFields>
  <rowFields count="2">
    <field x="0"/>
    <field x="1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3" hier="10" name="[Range].[Payment_Method].&amp;[Cash]" cap="Cash"/>
  </pageFields>
  <dataFields count="1">
    <dataField name="Total Profit" fld="2" baseField="0" baseItem="0" numFmtId="164"/>
  </dataFields>
  <formats count="1">
    <format dxfId="8">
      <pivotArea outline="0" collapsedLevelsAreSubtotals="1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Range].[Payment_Method].&amp;[Cash]"/>
        <member name="[Range].[Payment_Method].&amp;[Bank Transfer]"/>
      </members>
    </pivotHierarchy>
    <pivotHierarchy dragToData="1"/>
    <pivotHierarchy dragToRow="0" dragToCol="0" dragToPage="0" dragToData="1"/>
    <pivotHierarchy dragToRow="0" dragToCol="0" dragToPage="0" dragToData="1"/>
    <pivotHierarchy dragToData="1" caption="Total Profit"/>
    <pivotHierarchy dragToData="1"/>
    <pivotHierarchy dragToData="1"/>
    <pivotHierarchy dragToData="1" caption="Average of Profit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L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F636E-7F5D-4901-BB8E-AD94CD48B71D}" name="PivotTable2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7:G14" firstHeaderRow="1" firstDataRow="2" firstDataCol="1" rowPageCount="2" colPageCount="1"/>
  <pivotFields count="5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6">
    <i>
      <x v="4"/>
    </i>
    <i>
      <x v="3"/>
    </i>
    <i>
      <x v="1"/>
    </i>
    <i>
      <x v="2"/>
    </i>
    <i>
      <x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3" hier="7" name="[Range].[Department].[All]" cap="All"/>
    <pageField fld="4" hier="9" name="[Range].[Customer_Segment].[All]" cap="All"/>
  </pageFields>
  <dataFields count="1">
    <dataField name="Total Profit" fld="2" baseField="0" baseItem="0" numFmtId="164"/>
  </dataFields>
  <formats count="1">
    <format dxfId="9">
      <pivotArea outline="0" collapsedLevelsAreSubtotals="1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Profit"/>
    <pivotHierarchy dragToData="1"/>
    <pivotHierarchy dragToData="1"/>
    <pivotHierarchy dragToData="1" caption="Average of Profit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L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C3AB3-CF5E-44CA-A9E6-74BCF63C9524}" name="PivotTable2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0BB8E-E300-430A-9BCC-AFEBDE4CE1A2}" name="PivotTable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formats count="1">
    <format dxfId="7">
      <pivotArea collapsedLevelsAreSubtotals="1" fieldPosition="0">
        <references count="1">
          <reference field="8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735F2-FBFA-4006-95B9-BA55A5EC9817}" name="PivotTable4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6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4D328-15F7-4C64-8DFE-95187570318B}" name="PivotTable5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432C8-BFFC-4965-94C7-4C311C2A95DD}" name="PivotTable6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1">
    <format dxfId="2">
      <pivotArea outline="0" collapsedLevelsAreSubtotals="1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C6" sqref="C6"/>
    </sheetView>
  </sheetViews>
  <sheetFormatPr defaultRowHeight="14.5" x14ac:dyDescent="0.35"/>
  <cols>
    <col min="1" max="1" width="17" bestFit="1" customWidth="1"/>
    <col min="2" max="2" width="16.08984375" bestFit="1" customWidth="1"/>
    <col min="3" max="3" width="16.6328125" customWidth="1"/>
    <col min="4" max="4" width="8.90625" bestFit="1" customWidth="1"/>
    <col min="5" max="5" width="10" bestFit="1" customWidth="1"/>
    <col min="6" max="6" width="8.90625" bestFit="1" customWidth="1"/>
    <col min="7" max="7" width="10.81640625" bestFit="1" customWidth="1"/>
  </cols>
  <sheetData>
    <row r="1" spans="1:7" x14ac:dyDescent="0.35">
      <c r="A1" s="3" t="s">
        <v>9</v>
      </c>
      <c r="B1" t="s">
        <v>2045</v>
      </c>
    </row>
    <row r="2" spans="1:7" x14ac:dyDescent="0.35">
      <c r="A2" s="3" t="s">
        <v>7</v>
      </c>
      <c r="B2" t="s">
        <v>15</v>
      </c>
    </row>
    <row r="4" spans="1:7" x14ac:dyDescent="0.35">
      <c r="A4" s="3" t="s">
        <v>2038</v>
      </c>
      <c r="B4" s="3" t="s">
        <v>2039</v>
      </c>
    </row>
    <row r="5" spans="1:7" x14ac:dyDescent="0.3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5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5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5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5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5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5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5">
      <c r="A13" s="3" t="s">
        <v>10</v>
      </c>
      <c r="B13" t="s">
        <v>2045</v>
      </c>
    </row>
    <row r="15" spans="1:7" x14ac:dyDescent="0.35">
      <c r="A15" s="3" t="s">
        <v>6</v>
      </c>
      <c r="B15" s="3" t="s">
        <v>8</v>
      </c>
      <c r="C15" t="s">
        <v>2038</v>
      </c>
    </row>
    <row r="16" spans="1:7" x14ac:dyDescent="0.35">
      <c r="A16" t="s">
        <v>40</v>
      </c>
      <c r="B16" t="s">
        <v>41</v>
      </c>
      <c r="C16" s="5">
        <v>139099</v>
      </c>
    </row>
    <row r="17" spans="1:3" x14ac:dyDescent="0.35">
      <c r="B17" t="s">
        <v>27</v>
      </c>
      <c r="C17" s="5">
        <v>378352</v>
      </c>
    </row>
    <row r="18" spans="1:3" x14ac:dyDescent="0.35">
      <c r="B18" t="s">
        <v>22</v>
      </c>
      <c r="C18" s="5">
        <v>132938</v>
      </c>
    </row>
    <row r="19" spans="1:3" x14ac:dyDescent="0.35">
      <c r="B19" t="s">
        <v>31</v>
      </c>
      <c r="C19" s="5">
        <v>465128</v>
      </c>
    </row>
    <row r="20" spans="1:3" x14ac:dyDescent="0.35">
      <c r="B20" t="s">
        <v>16</v>
      </c>
      <c r="C20" s="5">
        <v>144667</v>
      </c>
    </row>
    <row r="21" spans="1:3" x14ac:dyDescent="0.35">
      <c r="A21" t="s">
        <v>2041</v>
      </c>
      <c r="C21" s="5">
        <v>1260184</v>
      </c>
    </row>
    <row r="22" spans="1:3" x14ac:dyDescent="0.35">
      <c r="A22" t="s">
        <v>30</v>
      </c>
      <c r="B22" t="s">
        <v>41</v>
      </c>
      <c r="C22" s="5">
        <v>268316</v>
      </c>
    </row>
    <row r="23" spans="1:3" x14ac:dyDescent="0.35">
      <c r="B23" t="s">
        <v>27</v>
      </c>
      <c r="C23" s="5">
        <v>187730</v>
      </c>
    </row>
    <row r="24" spans="1:3" x14ac:dyDescent="0.35">
      <c r="B24" t="s">
        <v>22</v>
      </c>
      <c r="C24" s="5">
        <v>191265</v>
      </c>
    </row>
    <row r="25" spans="1:3" x14ac:dyDescent="0.35">
      <c r="B25" t="s">
        <v>31</v>
      </c>
      <c r="C25" s="5">
        <v>549053</v>
      </c>
    </row>
    <row r="26" spans="1:3" x14ac:dyDescent="0.35">
      <c r="B26" t="s">
        <v>16</v>
      </c>
      <c r="C26" s="5">
        <v>186486</v>
      </c>
    </row>
    <row r="27" spans="1:3" x14ac:dyDescent="0.35">
      <c r="A27" t="s">
        <v>2040</v>
      </c>
      <c r="C27" s="5">
        <v>1382850</v>
      </c>
    </row>
    <row r="28" spans="1:3" x14ac:dyDescent="0.35">
      <c r="A28" t="s">
        <v>14</v>
      </c>
      <c r="B28" t="s">
        <v>41</v>
      </c>
      <c r="C28" s="5">
        <v>436037</v>
      </c>
    </row>
    <row r="29" spans="1:3" x14ac:dyDescent="0.35">
      <c r="B29" t="s">
        <v>27</v>
      </c>
      <c r="C29" s="5">
        <v>278836</v>
      </c>
    </row>
    <row r="30" spans="1:3" x14ac:dyDescent="0.35">
      <c r="B30" t="s">
        <v>22</v>
      </c>
      <c r="C30" s="5">
        <v>193813</v>
      </c>
    </row>
    <row r="31" spans="1:3" x14ac:dyDescent="0.35">
      <c r="B31" t="s">
        <v>31</v>
      </c>
      <c r="C31" s="5">
        <v>1009798</v>
      </c>
    </row>
    <row r="32" spans="1:3" x14ac:dyDescent="0.35">
      <c r="B32" t="s">
        <v>16</v>
      </c>
      <c r="C32" s="5">
        <v>357008</v>
      </c>
    </row>
    <row r="33" spans="1:3" x14ac:dyDescent="0.35">
      <c r="A33" t="s">
        <v>2042</v>
      </c>
      <c r="C33" s="5">
        <v>2275492</v>
      </c>
    </row>
    <row r="34" spans="1:3" x14ac:dyDescent="0.35">
      <c r="A34" t="s">
        <v>26</v>
      </c>
      <c r="B34" t="s">
        <v>41</v>
      </c>
      <c r="C34" s="5">
        <v>276126</v>
      </c>
    </row>
    <row r="35" spans="1:3" x14ac:dyDescent="0.35">
      <c r="B35" t="s">
        <v>27</v>
      </c>
      <c r="C35" s="5">
        <v>377912</v>
      </c>
    </row>
    <row r="36" spans="1:3" x14ac:dyDescent="0.35">
      <c r="B36" t="s">
        <v>22</v>
      </c>
      <c r="C36" s="5">
        <v>164690</v>
      </c>
    </row>
    <row r="37" spans="1:3" x14ac:dyDescent="0.35">
      <c r="B37" t="s">
        <v>31</v>
      </c>
      <c r="C37" s="5">
        <v>1012699</v>
      </c>
    </row>
    <row r="38" spans="1:3" x14ac:dyDescent="0.35">
      <c r="B38" t="s">
        <v>16</v>
      </c>
      <c r="C38" s="5">
        <v>540954</v>
      </c>
    </row>
    <row r="39" spans="1:3" x14ac:dyDescent="0.35">
      <c r="A39" t="s">
        <v>2043</v>
      </c>
      <c r="C39" s="5">
        <v>2372381</v>
      </c>
    </row>
    <row r="40" spans="1:3" x14ac:dyDescent="0.35">
      <c r="A40" t="s">
        <v>36</v>
      </c>
      <c r="B40" t="s">
        <v>41</v>
      </c>
      <c r="C40" s="5">
        <v>698345</v>
      </c>
    </row>
    <row r="41" spans="1:3" x14ac:dyDescent="0.35">
      <c r="B41" t="s">
        <v>27</v>
      </c>
      <c r="C41" s="5">
        <v>1162918</v>
      </c>
    </row>
    <row r="42" spans="1:3" x14ac:dyDescent="0.35">
      <c r="B42" t="s">
        <v>22</v>
      </c>
      <c r="C42" s="5">
        <v>620620</v>
      </c>
    </row>
    <row r="43" spans="1:3" x14ac:dyDescent="0.35">
      <c r="B43" t="s">
        <v>31</v>
      </c>
      <c r="C43" s="5">
        <v>2243948</v>
      </c>
    </row>
    <row r="44" spans="1:3" x14ac:dyDescent="0.35">
      <c r="B44" t="s">
        <v>16</v>
      </c>
      <c r="C44" s="5">
        <v>626361</v>
      </c>
    </row>
    <row r="45" spans="1:3" x14ac:dyDescent="0.35">
      <c r="A45" t="s">
        <v>2044</v>
      </c>
      <c r="C45" s="5">
        <v>5352192</v>
      </c>
    </row>
    <row r="46" spans="1:3" x14ac:dyDescent="0.35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E748-D6B6-48E3-AA11-874C56DF9442}">
  <dimension ref="A4:G52"/>
  <sheetViews>
    <sheetView workbookViewId="0">
      <selection activeCell="B5" sqref="B5"/>
    </sheetView>
  </sheetViews>
  <sheetFormatPr defaultRowHeight="14.5" x14ac:dyDescent="0.35"/>
  <cols>
    <col min="1" max="1" width="17.26953125" bestFit="1" customWidth="1"/>
    <col min="2" max="2" width="15.26953125" bestFit="1" customWidth="1"/>
    <col min="3" max="6" width="10.1796875" bestFit="1" customWidth="1"/>
    <col min="7" max="7" width="11.1796875" bestFit="1" customWidth="1"/>
  </cols>
  <sheetData>
    <row r="4" spans="1:7" x14ac:dyDescent="0.35">
      <c r="A4" s="3" t="s">
        <v>7</v>
      </c>
      <c r="B4" t="s" vm="2">
        <v>2047</v>
      </c>
    </row>
    <row r="5" spans="1:7" x14ac:dyDescent="0.35">
      <c r="A5" s="3" t="s">
        <v>9</v>
      </c>
      <c r="B5" t="s" vm="3">
        <v>2047</v>
      </c>
    </row>
    <row r="7" spans="1:7" x14ac:dyDescent="0.35">
      <c r="A7" s="3" t="s">
        <v>2038</v>
      </c>
      <c r="B7" s="3" t="s">
        <v>2039</v>
      </c>
    </row>
    <row r="8" spans="1:7" x14ac:dyDescent="0.35">
      <c r="A8" s="3" t="s">
        <v>6</v>
      </c>
      <c r="B8" t="s">
        <v>41</v>
      </c>
      <c r="C8" t="s">
        <v>27</v>
      </c>
      <c r="D8" t="s">
        <v>22</v>
      </c>
      <c r="E8" t="s">
        <v>31</v>
      </c>
      <c r="F8" t="s">
        <v>16</v>
      </c>
      <c r="G8" t="s">
        <v>2037</v>
      </c>
    </row>
    <row r="9" spans="1:7" x14ac:dyDescent="0.35">
      <c r="A9" s="4" t="s">
        <v>30</v>
      </c>
      <c r="B9" s="5">
        <v>391346</v>
      </c>
      <c r="C9" s="5">
        <v>255365</v>
      </c>
      <c r="D9" s="5">
        <v>254313</v>
      </c>
      <c r="E9" s="5">
        <v>935258</v>
      </c>
      <c r="F9" s="5">
        <v>312705</v>
      </c>
      <c r="G9" s="5">
        <v>2148987</v>
      </c>
    </row>
    <row r="10" spans="1:7" x14ac:dyDescent="0.35">
      <c r="A10" s="4" t="s">
        <v>26</v>
      </c>
      <c r="B10" s="5">
        <v>405384</v>
      </c>
      <c r="C10" s="5">
        <v>724635</v>
      </c>
      <c r="D10" s="5">
        <v>323831</v>
      </c>
      <c r="E10" s="5">
        <v>1754161</v>
      </c>
      <c r="F10" s="5">
        <v>708873</v>
      </c>
      <c r="G10" s="5">
        <v>3916884</v>
      </c>
    </row>
    <row r="11" spans="1:7" x14ac:dyDescent="0.35">
      <c r="A11" s="4" t="s">
        <v>40</v>
      </c>
      <c r="B11" s="5">
        <v>434212</v>
      </c>
      <c r="C11" s="5">
        <v>430504</v>
      </c>
      <c r="D11" s="5">
        <v>242044</v>
      </c>
      <c r="E11" s="5">
        <v>885268</v>
      </c>
      <c r="F11" s="5">
        <v>365211</v>
      </c>
      <c r="G11" s="5">
        <v>2357239</v>
      </c>
    </row>
    <row r="12" spans="1:7" x14ac:dyDescent="0.35">
      <c r="A12" s="4" t="s">
        <v>14</v>
      </c>
      <c r="B12" s="5">
        <v>623799</v>
      </c>
      <c r="C12" s="5">
        <v>395911</v>
      </c>
      <c r="D12" s="5">
        <v>237715</v>
      </c>
      <c r="E12" s="5">
        <v>1501348</v>
      </c>
      <c r="F12" s="5">
        <v>560509</v>
      </c>
      <c r="G12" s="5">
        <v>3319282</v>
      </c>
    </row>
    <row r="13" spans="1:7" x14ac:dyDescent="0.35">
      <c r="A13" s="4" t="s">
        <v>36</v>
      </c>
      <c r="B13" s="5">
        <v>1069720</v>
      </c>
      <c r="C13" s="5">
        <v>1976228</v>
      </c>
      <c r="D13" s="5">
        <v>1113987</v>
      </c>
      <c r="E13" s="5">
        <v>3472937</v>
      </c>
      <c r="F13" s="5">
        <v>1118265</v>
      </c>
      <c r="G13" s="5">
        <v>8751137</v>
      </c>
    </row>
    <row r="14" spans="1:7" x14ac:dyDescent="0.35">
      <c r="A14" s="4" t="s">
        <v>2037</v>
      </c>
      <c r="B14" s="5">
        <v>2924461</v>
      </c>
      <c r="C14" s="5">
        <v>3782643</v>
      </c>
      <c r="D14" s="5">
        <v>2171890</v>
      </c>
      <c r="E14" s="5">
        <v>8548972</v>
      </c>
      <c r="F14" s="5">
        <v>3065563</v>
      </c>
      <c r="G14" s="5">
        <v>20493529</v>
      </c>
    </row>
    <row r="19" spans="1:3" x14ac:dyDescent="0.35">
      <c r="A19" s="3" t="s">
        <v>10</v>
      </c>
      <c r="B19" t="s" vm="1">
        <v>2045</v>
      </c>
    </row>
    <row r="21" spans="1:3" x14ac:dyDescent="0.35">
      <c r="A21" s="3" t="s">
        <v>6</v>
      </c>
      <c r="B21" s="3" t="s">
        <v>8</v>
      </c>
      <c r="C21" t="s">
        <v>2038</v>
      </c>
    </row>
    <row r="22" spans="1:3" x14ac:dyDescent="0.35">
      <c r="A22" t="s">
        <v>36</v>
      </c>
      <c r="B22" t="s">
        <v>41</v>
      </c>
      <c r="C22" s="5">
        <v>698345</v>
      </c>
    </row>
    <row r="23" spans="1:3" x14ac:dyDescent="0.35">
      <c r="B23" t="s">
        <v>27</v>
      </c>
      <c r="C23" s="5">
        <v>1162918</v>
      </c>
    </row>
    <row r="24" spans="1:3" x14ac:dyDescent="0.35">
      <c r="B24" t="s">
        <v>22</v>
      </c>
      <c r="C24" s="5">
        <v>620620</v>
      </c>
    </row>
    <row r="25" spans="1:3" x14ac:dyDescent="0.35">
      <c r="B25" t="s">
        <v>31</v>
      </c>
      <c r="C25" s="5">
        <v>2243948</v>
      </c>
    </row>
    <row r="26" spans="1:3" x14ac:dyDescent="0.35">
      <c r="B26" t="s">
        <v>16</v>
      </c>
      <c r="C26" s="5">
        <v>626361</v>
      </c>
    </row>
    <row r="27" spans="1:3" x14ac:dyDescent="0.35">
      <c r="A27" t="s">
        <v>2044</v>
      </c>
      <c r="C27" s="5">
        <v>5352192</v>
      </c>
    </row>
    <row r="28" spans="1:3" x14ac:dyDescent="0.35">
      <c r="A28" t="s">
        <v>40</v>
      </c>
      <c r="B28" t="s">
        <v>41</v>
      </c>
      <c r="C28" s="5">
        <v>139099</v>
      </c>
    </row>
    <row r="29" spans="1:3" x14ac:dyDescent="0.35">
      <c r="B29" t="s">
        <v>27</v>
      </c>
      <c r="C29" s="5">
        <v>378352</v>
      </c>
    </row>
    <row r="30" spans="1:3" x14ac:dyDescent="0.35">
      <c r="B30" t="s">
        <v>22</v>
      </c>
      <c r="C30" s="5">
        <v>132938</v>
      </c>
    </row>
    <row r="31" spans="1:3" x14ac:dyDescent="0.35">
      <c r="B31" t="s">
        <v>31</v>
      </c>
      <c r="C31" s="5">
        <v>465128</v>
      </c>
    </row>
    <row r="32" spans="1:3" x14ac:dyDescent="0.35">
      <c r="B32" t="s">
        <v>16</v>
      </c>
      <c r="C32" s="5">
        <v>144667</v>
      </c>
    </row>
    <row r="33" spans="1:3" x14ac:dyDescent="0.35">
      <c r="A33" t="s">
        <v>2041</v>
      </c>
      <c r="C33" s="5">
        <v>1260184</v>
      </c>
    </row>
    <row r="34" spans="1:3" x14ac:dyDescent="0.35">
      <c r="A34" t="s">
        <v>14</v>
      </c>
      <c r="B34" t="s">
        <v>41</v>
      </c>
      <c r="C34" s="5">
        <v>436037</v>
      </c>
    </row>
    <row r="35" spans="1:3" x14ac:dyDescent="0.35">
      <c r="B35" t="s">
        <v>27</v>
      </c>
      <c r="C35" s="5">
        <v>278836</v>
      </c>
    </row>
    <row r="36" spans="1:3" x14ac:dyDescent="0.35">
      <c r="B36" t="s">
        <v>22</v>
      </c>
      <c r="C36" s="5">
        <v>193813</v>
      </c>
    </row>
    <row r="37" spans="1:3" x14ac:dyDescent="0.35">
      <c r="B37" t="s">
        <v>31</v>
      </c>
      <c r="C37" s="5">
        <v>1009798</v>
      </c>
    </row>
    <row r="38" spans="1:3" x14ac:dyDescent="0.35">
      <c r="B38" t="s">
        <v>16</v>
      </c>
      <c r="C38" s="5">
        <v>357008</v>
      </c>
    </row>
    <row r="39" spans="1:3" x14ac:dyDescent="0.35">
      <c r="A39" t="s">
        <v>2042</v>
      </c>
      <c r="C39" s="5">
        <v>2275492</v>
      </c>
    </row>
    <row r="40" spans="1:3" x14ac:dyDescent="0.35">
      <c r="A40" t="s">
        <v>26</v>
      </c>
      <c r="B40" t="s">
        <v>41</v>
      </c>
      <c r="C40" s="5">
        <v>276126</v>
      </c>
    </row>
    <row r="41" spans="1:3" x14ac:dyDescent="0.35">
      <c r="B41" t="s">
        <v>27</v>
      </c>
      <c r="C41" s="5">
        <v>377912</v>
      </c>
    </row>
    <row r="42" spans="1:3" x14ac:dyDescent="0.35">
      <c r="B42" t="s">
        <v>22</v>
      </c>
      <c r="C42" s="5">
        <v>164690</v>
      </c>
    </row>
    <row r="43" spans="1:3" x14ac:dyDescent="0.35">
      <c r="B43" t="s">
        <v>31</v>
      </c>
      <c r="C43" s="5">
        <v>1012699</v>
      </c>
    </row>
    <row r="44" spans="1:3" x14ac:dyDescent="0.35">
      <c r="B44" t="s">
        <v>16</v>
      </c>
      <c r="C44" s="5">
        <v>540954</v>
      </c>
    </row>
    <row r="45" spans="1:3" x14ac:dyDescent="0.35">
      <c r="A45" t="s">
        <v>2043</v>
      </c>
      <c r="C45" s="5">
        <v>2372381</v>
      </c>
    </row>
    <row r="46" spans="1:3" x14ac:dyDescent="0.35">
      <c r="A46" t="s">
        <v>30</v>
      </c>
      <c r="B46" t="s">
        <v>41</v>
      </c>
      <c r="C46" s="5">
        <v>268316</v>
      </c>
    </row>
    <row r="47" spans="1:3" x14ac:dyDescent="0.35">
      <c r="B47" t="s">
        <v>27</v>
      </c>
      <c r="C47" s="5">
        <v>187730</v>
      </c>
    </row>
    <row r="48" spans="1:3" x14ac:dyDescent="0.35">
      <c r="B48" t="s">
        <v>22</v>
      </c>
      <c r="C48" s="5">
        <v>191265</v>
      </c>
    </row>
    <row r="49" spans="1:3" x14ac:dyDescent="0.35">
      <c r="B49" t="s">
        <v>31</v>
      </c>
      <c r="C49" s="5">
        <v>549053</v>
      </c>
    </row>
    <row r="50" spans="1:3" x14ac:dyDescent="0.35">
      <c r="B50" t="s">
        <v>16</v>
      </c>
      <c r="C50" s="5">
        <v>186486</v>
      </c>
    </row>
    <row r="51" spans="1:3" x14ac:dyDescent="0.35">
      <c r="A51" t="s">
        <v>2040</v>
      </c>
      <c r="C51" s="5">
        <v>1382850</v>
      </c>
    </row>
    <row r="52" spans="1:3" x14ac:dyDescent="0.35">
      <c r="A52" t="s">
        <v>2037</v>
      </c>
      <c r="C52" s="5">
        <v>12643099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0BFD-3FAB-4025-913A-BB7BF40C28D1}">
  <dimension ref="A1:Z4"/>
  <sheetViews>
    <sheetView showGridLines="0" tabSelected="1" topLeftCell="G2" workbookViewId="0">
      <selection activeCell="U16" sqref="U16"/>
    </sheetView>
  </sheetViews>
  <sheetFormatPr defaultRowHeight="14.5" x14ac:dyDescent="0.35"/>
  <sheetData>
    <row r="1" spans="1:26" x14ac:dyDescent="0.35">
      <c r="A1" s="7" t="s">
        <v>2053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</sheetData>
  <mergeCells count="1">
    <mergeCell ref="A1:Z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8EDC-0D40-4E22-BEC1-7FA3D5CF3B59}">
  <dimension ref="A3:B8"/>
  <sheetViews>
    <sheetView workbookViewId="0">
      <selection activeCell="M15" sqref="M15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3" t="s">
        <v>2048</v>
      </c>
      <c r="B3" t="s">
        <v>2046</v>
      </c>
    </row>
    <row r="4" spans="1:2" x14ac:dyDescent="0.35">
      <c r="A4" s="4" t="s">
        <v>24</v>
      </c>
      <c r="B4" s="6">
        <v>3629433</v>
      </c>
    </row>
    <row r="5" spans="1:2" x14ac:dyDescent="0.35">
      <c r="A5" s="4" t="s">
        <v>18</v>
      </c>
      <c r="B5" s="6">
        <v>9013666</v>
      </c>
    </row>
    <row r="6" spans="1:2" x14ac:dyDescent="0.35">
      <c r="A6" s="4" t="s">
        <v>33</v>
      </c>
      <c r="B6" s="6">
        <v>5030165</v>
      </c>
    </row>
    <row r="7" spans="1:2" x14ac:dyDescent="0.35">
      <c r="A7" s="4" t="s">
        <v>51</v>
      </c>
      <c r="B7" s="6">
        <v>2820265</v>
      </c>
    </row>
    <row r="8" spans="1:2" x14ac:dyDescent="0.35">
      <c r="A8" s="4" t="s">
        <v>2037</v>
      </c>
      <c r="B8" s="6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BAD4-1695-48C9-B405-DA1E842383D5}">
  <dimension ref="A3:B9"/>
  <sheetViews>
    <sheetView workbookViewId="0">
      <selection activeCell="L13" sqref="L13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3" t="s">
        <v>2048</v>
      </c>
      <c r="B3" t="s">
        <v>2049</v>
      </c>
    </row>
    <row r="4" spans="1:2" x14ac:dyDescent="0.35">
      <c r="A4" s="4" t="s">
        <v>41</v>
      </c>
      <c r="B4" s="5">
        <v>8585057</v>
      </c>
    </row>
    <row r="5" spans="1:2" x14ac:dyDescent="0.35">
      <c r="A5" s="4" t="s">
        <v>27</v>
      </c>
      <c r="B5" s="5">
        <v>10199670</v>
      </c>
    </row>
    <row r="6" spans="1:2" x14ac:dyDescent="0.35">
      <c r="A6" s="4" t="s">
        <v>22</v>
      </c>
      <c r="B6" s="5">
        <v>5496803</v>
      </c>
    </row>
    <row r="7" spans="1:2" x14ac:dyDescent="0.35">
      <c r="A7" s="4" t="s">
        <v>31</v>
      </c>
      <c r="B7" s="5">
        <v>21863582</v>
      </c>
    </row>
    <row r="8" spans="1:2" x14ac:dyDescent="0.35">
      <c r="A8" s="4" t="s">
        <v>16</v>
      </c>
      <c r="B8" s="5">
        <v>7820463</v>
      </c>
    </row>
    <row r="9" spans="1:2" x14ac:dyDescent="0.35">
      <c r="A9" s="4" t="s">
        <v>2037</v>
      </c>
      <c r="B9" s="6">
        <v>53965575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0946-6C8B-48C0-85C6-22C322380745}">
  <dimension ref="A3:D9"/>
  <sheetViews>
    <sheetView topLeftCell="A5" workbookViewId="0">
      <selection activeCell="K19" sqref="K19"/>
    </sheetView>
  </sheetViews>
  <sheetFormatPr defaultRowHeight="14.5" x14ac:dyDescent="0.35"/>
  <cols>
    <col min="1" max="1" width="12.36328125" bestFit="1" customWidth="1"/>
    <col min="2" max="2" width="14.36328125" bestFit="1" customWidth="1"/>
    <col min="3" max="3" width="14.90625" bestFit="1" customWidth="1"/>
    <col min="4" max="4" width="11.81640625" bestFit="1" customWidth="1"/>
  </cols>
  <sheetData>
    <row r="3" spans="1:4" x14ac:dyDescent="0.35">
      <c r="A3" s="3" t="s">
        <v>2048</v>
      </c>
      <c r="B3" t="s">
        <v>2049</v>
      </c>
      <c r="C3" t="s">
        <v>2050</v>
      </c>
      <c r="D3" t="s">
        <v>2046</v>
      </c>
    </row>
    <row r="4" spans="1:4" x14ac:dyDescent="0.35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5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5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5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5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5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0820-3434-4FFC-9EB0-8024E6215ECA}">
  <dimension ref="A3:B9"/>
  <sheetViews>
    <sheetView workbookViewId="0">
      <selection activeCell="L16" sqref="L16"/>
    </sheetView>
  </sheetViews>
  <sheetFormatPr defaultRowHeight="14.5" x14ac:dyDescent="0.35"/>
  <cols>
    <col min="1" max="1" width="13" bestFit="1" customWidth="1"/>
    <col min="2" max="2" width="21.453125" bestFit="1" customWidth="1"/>
  </cols>
  <sheetData>
    <row r="3" spans="1:2" x14ac:dyDescent="0.35">
      <c r="A3" s="3" t="s">
        <v>2048</v>
      </c>
      <c r="B3" t="s">
        <v>2051</v>
      </c>
    </row>
    <row r="4" spans="1:2" x14ac:dyDescent="0.35">
      <c r="A4" s="4" t="s">
        <v>36</v>
      </c>
      <c r="B4" s="6">
        <v>818</v>
      </c>
    </row>
    <row r="5" spans="1:2" x14ac:dyDescent="0.35">
      <c r="A5" s="4" t="s">
        <v>40</v>
      </c>
      <c r="B5" s="6">
        <v>258</v>
      </c>
    </row>
    <row r="6" spans="1:2" x14ac:dyDescent="0.35">
      <c r="A6" s="4" t="s">
        <v>14</v>
      </c>
      <c r="B6" s="6">
        <v>314</v>
      </c>
    </row>
    <row r="7" spans="1:2" x14ac:dyDescent="0.35">
      <c r="A7" s="4" t="s">
        <v>26</v>
      </c>
      <c r="B7" s="6">
        <v>411</v>
      </c>
    </row>
    <row r="8" spans="1:2" x14ac:dyDescent="0.35">
      <c r="A8" s="4" t="s">
        <v>30</v>
      </c>
      <c r="B8" s="6">
        <v>199</v>
      </c>
    </row>
    <row r="9" spans="1:2" x14ac:dyDescent="0.35">
      <c r="A9" s="4" t="s">
        <v>2037</v>
      </c>
      <c r="B9" s="6">
        <v>2000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35AB-1CC6-4E6B-B7A2-7F119AB7CF11}">
  <dimension ref="A3:B10"/>
  <sheetViews>
    <sheetView workbookViewId="0">
      <selection activeCell="L17" sqref="L17"/>
    </sheetView>
  </sheetViews>
  <sheetFormatPr defaultRowHeight="14.5" x14ac:dyDescent="0.35"/>
  <cols>
    <col min="1" max="1" width="12.36328125" bestFit="1" customWidth="1"/>
    <col min="2" max="2" width="18.08984375" bestFit="1" customWidth="1"/>
  </cols>
  <sheetData>
    <row r="3" spans="1:2" x14ac:dyDescent="0.35">
      <c r="A3" s="3" t="s">
        <v>2048</v>
      </c>
      <c r="B3" t="s">
        <v>2052</v>
      </c>
    </row>
    <row r="4" spans="1:2" x14ac:dyDescent="0.35">
      <c r="A4" s="4" t="s">
        <v>45</v>
      </c>
      <c r="B4" s="5">
        <v>15749.475903614459</v>
      </c>
    </row>
    <row r="5" spans="1:2" x14ac:dyDescent="0.35">
      <c r="A5" s="4" t="s">
        <v>15</v>
      </c>
      <c r="B5" s="5">
        <v>17351.541666666668</v>
      </c>
    </row>
    <row r="6" spans="1:2" x14ac:dyDescent="0.35">
      <c r="A6" s="4" t="s">
        <v>21</v>
      </c>
      <c r="B6" s="5">
        <v>16810.526576019776</v>
      </c>
    </row>
    <row r="7" spans="1:2" x14ac:dyDescent="0.35">
      <c r="A7" s="4" t="s">
        <v>35</v>
      </c>
      <c r="B7" s="5">
        <v>16478.297945205479</v>
      </c>
    </row>
    <row r="8" spans="1:2" x14ac:dyDescent="0.35">
      <c r="A8" s="4" t="s">
        <v>20</v>
      </c>
      <c r="B8" s="5">
        <v>17174.339449541283</v>
      </c>
    </row>
    <row r="9" spans="1:2" x14ac:dyDescent="0.35">
      <c r="A9" s="4" t="s">
        <v>29</v>
      </c>
      <c r="B9" s="5">
        <v>16627.71517027864</v>
      </c>
    </row>
    <row r="10" spans="1:2" x14ac:dyDescent="0.35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sqref="A1:L2001"/>
    </sheetView>
  </sheetViews>
  <sheetFormatPr defaultRowHeight="14.5" x14ac:dyDescent="0.35"/>
  <cols>
    <col min="1" max="1" width="15.54296875" customWidth="1"/>
    <col min="2" max="2" width="17.54296875" customWidth="1"/>
    <col min="3" max="3" width="11.90625" customWidth="1"/>
    <col min="4" max="4" width="11.36328125" customWidth="1"/>
    <col min="5" max="5" width="10.90625" customWidth="1"/>
    <col min="6" max="6" width="14.90625" customWidth="1"/>
    <col min="7" max="7" width="16.6328125" customWidth="1"/>
    <col min="8" max="8" width="14.6328125" customWidth="1"/>
    <col min="9" max="9" width="15.08984375" customWidth="1"/>
    <col min="10" max="10" width="18.81640625" customWidth="1"/>
    <col min="11" max="11" width="20" customWidth="1"/>
    <col min="12" max="12" width="13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Sheet5</vt:lpstr>
      <vt:lpstr>Dashboard</vt:lpstr>
      <vt:lpstr>Pivot 1</vt:lpstr>
      <vt:lpstr>Pivot 2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Sowmya Thokala</cp:lastModifiedBy>
  <dcterms:created xsi:type="dcterms:W3CDTF">2015-06-05T18:17:20Z</dcterms:created>
  <dcterms:modified xsi:type="dcterms:W3CDTF">2025-07-05T20:48:56Z</dcterms:modified>
</cp:coreProperties>
</file>